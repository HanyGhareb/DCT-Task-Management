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70.xml" ContentType="application/vnd.ms-office.activeX+xml"/>
  <Override PartName="/xl/activeX/activeX70.bin" ContentType="application/vnd.ms-office.activeX"/>
  <Override PartName="/xl/activeX/activeX71.xml" ContentType="application/vnd.ms-office.activeX+xml"/>
  <Override PartName="/xl/activeX/activeX71.bin" ContentType="application/vnd.ms-office.activeX"/>
  <Override PartName="/xl/activeX/activeX72.xml" ContentType="application/vnd.ms-office.activeX+xml"/>
  <Override PartName="/xl/activeX/activeX72.bin" ContentType="application/vnd.ms-office.activeX"/>
  <Override PartName="/xl/activeX/activeX73.xml" ContentType="application/vnd.ms-office.activeX+xml"/>
  <Override PartName="/xl/activeX/activeX73.bin" ContentType="application/vnd.ms-office.activeX"/>
  <Override PartName="/xl/activeX/activeX74.xml" ContentType="application/vnd.ms-office.activeX+xml"/>
  <Override PartName="/xl/activeX/activeX74.bin" ContentType="application/vnd.ms-office.activeX"/>
  <Override PartName="/xl/activeX/activeX75.xml" ContentType="application/vnd.ms-office.activeX+xml"/>
  <Override PartName="/xl/activeX/activeX75.bin" ContentType="application/vnd.ms-office.activeX"/>
  <Override PartName="/xl/activeX/activeX76.xml" ContentType="application/vnd.ms-office.activeX+xml"/>
  <Override PartName="/xl/activeX/activeX76.bin" ContentType="application/vnd.ms-office.activeX"/>
  <Override PartName="/xl/activeX/activeX77.xml" ContentType="application/vnd.ms-office.activeX+xml"/>
  <Override PartName="/xl/activeX/activeX77.bin" ContentType="application/vnd.ms-office.activeX"/>
  <Override PartName="/xl/activeX/activeX78.xml" ContentType="application/vnd.ms-office.activeX+xml"/>
  <Override PartName="/xl/activeX/activeX78.bin" ContentType="application/vnd.ms-office.activeX"/>
  <Override PartName="/xl/activeX/activeX79.xml" ContentType="application/vnd.ms-office.activeX+xml"/>
  <Override PartName="/xl/activeX/activeX79.bin" ContentType="application/vnd.ms-office.activeX"/>
  <Override PartName="/xl/activeX/activeX80.xml" ContentType="application/vnd.ms-office.activeX+xml"/>
  <Override PartName="/xl/activeX/activeX80.bin" ContentType="application/vnd.ms-office.activeX"/>
  <Override PartName="/xl/activeX/activeX81.xml" ContentType="application/vnd.ms-office.activeX+xml"/>
  <Override PartName="/xl/activeX/activeX81.bin" ContentType="application/vnd.ms-office.activeX"/>
  <Override PartName="/xl/activeX/activeX82.xml" ContentType="application/vnd.ms-office.activeX+xml"/>
  <Override PartName="/xl/activeX/activeX82.bin" ContentType="application/vnd.ms-office.activeX"/>
  <Override PartName="/xl/activeX/activeX83.xml" ContentType="application/vnd.ms-office.activeX+xml"/>
  <Override PartName="/xl/activeX/activeX83.bin" ContentType="application/vnd.ms-office.activeX"/>
  <Override PartName="/xl/activeX/activeX84.xml" ContentType="application/vnd.ms-office.activeX+xml"/>
  <Override PartName="/xl/activeX/activeX84.bin" ContentType="application/vnd.ms-office.activeX"/>
  <Override PartName="/xl/activeX/activeX85.xml" ContentType="application/vnd.ms-office.activeX+xml"/>
  <Override PartName="/xl/activeX/activeX85.bin" ContentType="application/vnd.ms-office.activeX"/>
  <Override PartName="/xl/activeX/activeX86.xml" ContentType="application/vnd.ms-office.activeX+xml"/>
  <Override PartName="/xl/activeX/activeX86.bin" ContentType="application/vnd.ms-office.activeX"/>
  <Override PartName="/xl/activeX/activeX87.xml" ContentType="application/vnd.ms-office.activeX+xml"/>
  <Override PartName="/xl/activeX/activeX87.bin" ContentType="application/vnd.ms-office.activeX"/>
  <Override PartName="/xl/activeX/activeX88.xml" ContentType="application/vnd.ms-office.activeX+xml"/>
  <Override PartName="/xl/activeX/activeX88.bin" ContentType="application/vnd.ms-office.activeX"/>
  <Override PartName="/xl/activeX/activeX89.xml" ContentType="application/vnd.ms-office.activeX+xml"/>
  <Override PartName="/xl/activeX/activeX89.bin" ContentType="application/vnd.ms-office.activeX"/>
  <Override PartName="/xl/activeX/activeX90.xml" ContentType="application/vnd.ms-office.activeX+xml"/>
  <Override PartName="/xl/activeX/activeX90.bin" ContentType="application/vnd.ms-office.activeX"/>
  <Override PartName="/xl/activeX/activeX91.xml" ContentType="application/vnd.ms-office.activeX+xml"/>
  <Override PartName="/xl/activeX/activeX91.bin" ContentType="application/vnd.ms-office.activeX"/>
  <Override PartName="/xl/activeX/activeX92.xml" ContentType="application/vnd.ms-office.activeX+xml"/>
  <Override PartName="/xl/activeX/activeX92.bin" ContentType="application/vnd.ms-office.activeX"/>
  <Override PartName="/xl/activeX/activeX93.xml" ContentType="application/vnd.ms-office.activeX+xml"/>
  <Override PartName="/xl/activeX/activeX93.bin" ContentType="application/vnd.ms-office.activeX"/>
  <Override PartName="/xl/activeX/activeX94.xml" ContentType="application/vnd.ms-office.activeX+xml"/>
  <Override PartName="/xl/activeX/activeX94.bin" ContentType="application/vnd.ms-office.activeX"/>
  <Override PartName="/xl/activeX/activeX95.xml" ContentType="application/vnd.ms-office.activeX+xml"/>
  <Override PartName="/xl/activeX/activeX95.bin" ContentType="application/vnd.ms-office.activeX"/>
  <Override PartName="/xl/activeX/activeX96.xml" ContentType="application/vnd.ms-office.activeX+xml"/>
  <Override PartName="/xl/activeX/activeX96.bin" ContentType="application/vnd.ms-office.activeX"/>
  <Override PartName="/xl/activeX/activeX97.xml" ContentType="application/vnd.ms-office.activeX+xml"/>
  <Override PartName="/xl/activeX/activeX97.bin" ContentType="application/vnd.ms-office.activeX"/>
  <Override PartName="/xl/activeX/activeX98.xml" ContentType="application/vnd.ms-office.activeX+xml"/>
  <Override PartName="/xl/activeX/activeX98.bin" ContentType="application/vnd.ms-office.activeX"/>
  <Override PartName="/xl/activeX/activeX99.xml" ContentType="application/vnd.ms-office.activeX+xml"/>
  <Override PartName="/xl/activeX/activeX99.bin" ContentType="application/vnd.ms-office.activeX"/>
  <Override PartName="/xl/activeX/activeX100.xml" ContentType="application/vnd.ms-office.activeX+xml"/>
  <Override PartName="/xl/activeX/activeX100.bin" ContentType="application/vnd.ms-office.activeX"/>
  <Override PartName="/xl/activeX/activeX101.xml" ContentType="application/vnd.ms-office.activeX+xml"/>
  <Override PartName="/xl/activeX/activeX101.bin" ContentType="application/vnd.ms-office.activeX"/>
  <Override PartName="/xl/activeX/activeX102.xml" ContentType="application/vnd.ms-office.activeX+xml"/>
  <Override PartName="/xl/activeX/activeX102.bin" ContentType="application/vnd.ms-office.activeX"/>
  <Override PartName="/xl/activeX/activeX103.xml" ContentType="application/vnd.ms-office.activeX+xml"/>
  <Override PartName="/xl/activeX/activeX103.bin" ContentType="application/vnd.ms-office.activeX"/>
  <Override PartName="/xl/activeX/activeX104.xml" ContentType="application/vnd.ms-office.activeX+xml"/>
  <Override PartName="/xl/activeX/activeX104.bin" ContentType="application/vnd.ms-office.activeX"/>
  <Override PartName="/xl/activeX/activeX105.xml" ContentType="application/vnd.ms-office.activeX+xml"/>
  <Override PartName="/xl/activeX/activeX105.bin" ContentType="application/vnd.ms-office.activeX"/>
  <Override PartName="/xl/activeX/activeX106.xml" ContentType="application/vnd.ms-office.activeX+xml"/>
  <Override PartName="/xl/activeX/activeX106.bin" ContentType="application/vnd.ms-office.activeX"/>
  <Override PartName="/xl/activeX/activeX107.xml" ContentType="application/vnd.ms-office.activeX+xml"/>
  <Override PartName="/xl/activeX/activeX107.bin" ContentType="application/vnd.ms-office.activeX"/>
  <Override PartName="/xl/activeX/activeX108.xml" ContentType="application/vnd.ms-office.activeX+xml"/>
  <Override PartName="/xl/activeX/activeX108.bin" ContentType="application/vnd.ms-office.activeX"/>
  <Override PartName="/xl/activeX/activeX109.xml" ContentType="application/vnd.ms-office.activeX+xml"/>
  <Override PartName="/xl/activeX/activeX109.bin" ContentType="application/vnd.ms-office.activeX"/>
  <Override PartName="/xl/activeX/activeX110.xml" ContentType="application/vnd.ms-office.activeX+xml"/>
  <Override PartName="/xl/activeX/activeX110.bin" ContentType="application/vnd.ms-office.activeX"/>
  <Override PartName="/xl/activeX/activeX111.xml" ContentType="application/vnd.ms-office.activeX+xml"/>
  <Override PartName="/xl/activeX/activeX111.bin" ContentType="application/vnd.ms-office.activeX"/>
  <Override PartName="/xl/activeX/activeX112.xml" ContentType="application/vnd.ms-office.activeX+xml"/>
  <Override PartName="/xl/activeX/activeX112.bin" ContentType="application/vnd.ms-office.activeX"/>
  <Override PartName="/xl/activeX/activeX113.xml" ContentType="application/vnd.ms-office.activeX+xml"/>
  <Override PartName="/xl/activeX/activeX113.bin" ContentType="application/vnd.ms-office.activeX"/>
  <Override PartName="/xl/activeX/activeX114.xml" ContentType="application/vnd.ms-office.activeX+xml"/>
  <Override PartName="/xl/activeX/activeX114.bin" ContentType="application/vnd.ms-office.activeX"/>
  <Override PartName="/xl/activeX/activeX115.xml" ContentType="application/vnd.ms-office.activeX+xml"/>
  <Override PartName="/xl/activeX/activeX115.bin" ContentType="application/vnd.ms-office.activeX"/>
  <Override PartName="/xl/activeX/activeX116.xml" ContentType="application/vnd.ms-office.activeX+xml"/>
  <Override PartName="/xl/activeX/activeX116.bin" ContentType="application/vnd.ms-office.activeX"/>
  <Override PartName="/xl/activeX/activeX117.xml" ContentType="application/vnd.ms-office.activeX+xml"/>
  <Override PartName="/xl/activeX/activeX117.bin" ContentType="application/vnd.ms-office.activeX"/>
  <Override PartName="/xl/activeX/activeX118.xml" ContentType="application/vnd.ms-office.activeX+xml"/>
  <Override PartName="/xl/activeX/activeX118.bin" ContentType="application/vnd.ms-office.activeX"/>
  <Override PartName="/xl/activeX/activeX119.xml" ContentType="application/vnd.ms-office.activeX+xml"/>
  <Override PartName="/xl/activeX/activeX119.bin" ContentType="application/vnd.ms-office.activeX"/>
  <Override PartName="/xl/activeX/activeX120.xml" ContentType="application/vnd.ms-office.activeX+xml"/>
  <Override PartName="/xl/activeX/activeX120.bin" ContentType="application/vnd.ms-office.activeX"/>
  <Override PartName="/xl/activeX/activeX121.xml" ContentType="application/vnd.ms-office.activeX+xml"/>
  <Override PartName="/xl/activeX/activeX121.bin" ContentType="application/vnd.ms-office.activeX"/>
  <Override PartName="/xl/activeX/activeX122.xml" ContentType="application/vnd.ms-office.activeX+xml"/>
  <Override PartName="/xl/activeX/activeX122.bin" ContentType="application/vnd.ms-office.activeX"/>
  <Override PartName="/xl/activeX/activeX123.xml" ContentType="application/vnd.ms-office.activeX+xml"/>
  <Override PartName="/xl/activeX/activeX123.bin" ContentType="application/vnd.ms-office.activeX"/>
  <Override PartName="/xl/activeX/activeX124.xml" ContentType="application/vnd.ms-office.activeX+xml"/>
  <Override PartName="/xl/activeX/activeX124.bin" ContentType="application/vnd.ms-office.activeX"/>
  <Override PartName="/xl/activeX/activeX125.xml" ContentType="application/vnd.ms-office.activeX+xml"/>
  <Override PartName="/xl/activeX/activeX125.bin" ContentType="application/vnd.ms-office.activeX"/>
  <Override PartName="/xl/activeX/activeX126.xml" ContentType="application/vnd.ms-office.activeX+xml"/>
  <Override PartName="/xl/activeX/activeX126.bin" ContentType="application/vnd.ms-office.activeX"/>
  <Override PartName="/xl/activeX/activeX127.xml" ContentType="application/vnd.ms-office.activeX+xml"/>
  <Override PartName="/xl/activeX/activeX127.bin" ContentType="application/vnd.ms-office.activeX"/>
  <Override PartName="/xl/activeX/activeX128.xml" ContentType="application/vnd.ms-office.activeX+xml"/>
  <Override PartName="/xl/activeX/activeX128.bin" ContentType="application/vnd.ms-office.activeX"/>
  <Override PartName="/xl/activeX/activeX129.xml" ContentType="application/vnd.ms-office.activeX+xml"/>
  <Override PartName="/xl/activeX/activeX129.bin" ContentType="application/vnd.ms-office.activeX"/>
  <Override PartName="/xl/activeX/activeX130.xml" ContentType="application/vnd.ms-office.activeX+xml"/>
  <Override PartName="/xl/activeX/activeX130.bin" ContentType="application/vnd.ms-office.activeX"/>
  <Override PartName="/xl/activeX/activeX131.xml" ContentType="application/vnd.ms-office.activeX+xml"/>
  <Override PartName="/xl/activeX/activeX131.bin" ContentType="application/vnd.ms-office.activeX"/>
  <Override PartName="/xl/activeX/activeX132.xml" ContentType="application/vnd.ms-office.activeX+xml"/>
  <Override PartName="/xl/activeX/activeX132.bin" ContentType="application/vnd.ms-office.activeX"/>
  <Override PartName="/xl/activeX/activeX133.xml" ContentType="application/vnd.ms-office.activeX+xml"/>
  <Override PartName="/xl/activeX/activeX133.bin" ContentType="application/vnd.ms-office.activeX"/>
  <Override PartName="/xl/activeX/activeX134.xml" ContentType="application/vnd.ms-office.activeX+xml"/>
  <Override PartName="/xl/activeX/activeX134.bin" ContentType="application/vnd.ms-office.activeX"/>
  <Override PartName="/xl/activeX/activeX135.xml" ContentType="application/vnd.ms-office.activeX+xml"/>
  <Override PartName="/xl/activeX/activeX135.bin" ContentType="application/vnd.ms-office.activeX"/>
  <Override PartName="/xl/activeX/activeX136.xml" ContentType="application/vnd.ms-office.activeX+xml"/>
  <Override PartName="/xl/activeX/activeX136.bin" ContentType="application/vnd.ms-office.activeX"/>
  <Override PartName="/xl/activeX/activeX137.xml" ContentType="application/vnd.ms-office.activeX+xml"/>
  <Override PartName="/xl/activeX/activeX137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ctad-my.sharepoint.com/personal/hg2248_dctabudhabi_ae/Documents/Documents/"/>
    </mc:Choice>
  </mc:AlternateContent>
  <xr:revisionPtr revIDLastSave="0" documentId="8_{011BBD0D-4771-4F00-99DC-D96443ED9E1C}" xr6:coauthVersionLast="47" xr6:coauthVersionMax="47" xr10:uidLastSave="{00000000-0000-0000-0000-000000000000}"/>
  <bookViews>
    <workbookView xWindow="-120" yWindow="-120" windowWidth="51840" windowHeight="21120" tabRatio="713" firstSheet="1" activeTab="1" xr2:uid="{00000000-000D-0000-FFFF-FFFF00000000}"/>
  </bookViews>
  <sheets>
    <sheet name="Director &amp; ED" sheetId="12" state="hidden" r:id="rId1"/>
    <sheet name="Director &amp; ED Jan 2026" sheetId="27" r:id="rId2"/>
    <sheet name="Director &amp; ED Sep.25" sheetId="18" state="hidden" r:id="rId3"/>
    <sheet name="Old " sheetId="19" state="hidden" r:id="rId4"/>
    <sheet name="Action" sheetId="21" state="hidden" r:id="rId5"/>
    <sheet name="Sheet2" sheetId="23" state="hidden" r:id="rId6"/>
    <sheet name="Cost Center - System" sheetId="20" state="hidden" r:id="rId7"/>
    <sheet name="Cost Sentre -ADERP updated" sheetId="25" state="hidden" r:id="rId8"/>
    <sheet name="FBP" sheetId="22" state="hidden" r:id="rId9"/>
    <sheet name="Cost Sentre -ADERP  09 Dec." sheetId="26" state="hidden" r:id="rId10"/>
    <sheet name="FBP-to be share  " sheetId="24" state="hidden" r:id="rId11"/>
    <sheet name="Sheet1" sheetId="15" state="hidden" r:id="rId12"/>
    <sheet name="Sheet3" sheetId="17" state="hidden" r:id="rId13"/>
    <sheet name="Cost Centers" sheetId="14" state="hidden" r:id="rId14"/>
  </sheets>
  <definedNames>
    <definedName name="_xlnm._FilterDatabase" localSheetId="4" hidden="1">Action!$A$13:$G$61</definedName>
    <definedName name="_xlnm._FilterDatabase" localSheetId="6" hidden="1">'Cost Center - System'!$A$6:$M$151</definedName>
    <definedName name="_xlnm._FilterDatabase" localSheetId="9" hidden="1">'Cost Sentre -ADERP  09 Dec.'!$A$6:$K$158</definedName>
    <definedName name="_xlnm._FilterDatabase" localSheetId="7" hidden="1">'Cost Sentre -ADERP updated'!$A$6:$K$152</definedName>
    <definedName name="_xlnm._FilterDatabase" localSheetId="0" hidden="1">'Director &amp; ED'!$B$1:$N$51</definedName>
    <definedName name="_xlnm._FilterDatabase" localSheetId="1" hidden="1">'Director &amp; ED Jan 2026'!$A$1:$T$58</definedName>
    <definedName name="_xlnm._FilterDatabase" localSheetId="2" hidden="1">'Director &amp; ED Sep.25'!$B$1:$S$58</definedName>
    <definedName name="_xlnm._FilterDatabase" localSheetId="10" hidden="1">'FBP-to be share  '!$B$2:$I$41</definedName>
    <definedName name="_xlnm._FilterDatabase" localSheetId="3" hidden="1">'Old '!$A$13:$F$60</definedName>
    <definedName name="_xlnm._FilterDatabase" localSheetId="11" hidden="1">Sheet1!$C$2:$F$41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1" l="1"/>
  <c r="F21" i="21"/>
  <c r="AA4" i="22"/>
  <c r="F36" i="21"/>
  <c r="F42" i="21"/>
  <c r="W7" i="22"/>
  <c r="W6" i="22"/>
  <c r="E15" i="21"/>
  <c r="E27" i="21"/>
  <c r="E60" i="21"/>
  <c r="U9" i="22"/>
  <c r="C18" i="21"/>
  <c r="C19" i="21"/>
  <c r="C20" i="21"/>
  <c r="C23" i="21"/>
  <c r="C25" i="21"/>
  <c r="C26" i="21"/>
  <c r="C30" i="21"/>
  <c r="C31" i="21"/>
  <c r="C32" i="21"/>
  <c r="C37" i="21"/>
  <c r="C39" i="21"/>
  <c r="C40" i="21"/>
  <c r="C41" i="21"/>
  <c r="C42" i="21"/>
  <c r="C44" i="21"/>
  <c r="C45" i="21"/>
  <c r="C49" i="21"/>
  <c r="C50" i="21"/>
  <c r="C51" i="21"/>
  <c r="C54" i="21"/>
  <c r="C55" i="21"/>
  <c r="C60" i="21"/>
  <c r="C61" i="21"/>
  <c r="C59" i="21"/>
  <c r="C58" i="21"/>
  <c r="C57" i="21"/>
  <c r="C56" i="21"/>
  <c r="C53" i="21"/>
  <c r="C52" i="21"/>
  <c r="C48" i="21"/>
  <c r="C47" i="21"/>
  <c r="C46" i="21"/>
  <c r="C43" i="21"/>
  <c r="C38" i="21"/>
  <c r="C36" i="21"/>
  <c r="C35" i="21"/>
  <c r="C34" i="21"/>
  <c r="C33" i="21"/>
  <c r="C29" i="21"/>
  <c r="C28" i="21"/>
  <c r="C27" i="21"/>
  <c r="C24" i="21"/>
  <c r="C22" i="21"/>
  <c r="C21" i="21"/>
  <c r="C17" i="21"/>
  <c r="C16" i="21"/>
  <c r="C15" i="21"/>
  <c r="C14" i="21"/>
  <c r="E14" i="21"/>
  <c r="A9" i="22"/>
  <c r="A4" i="22"/>
  <c r="F23" i="21"/>
  <c r="F15" i="21"/>
  <c r="F16" i="21"/>
  <c r="F17" i="21"/>
  <c r="F18" i="21"/>
  <c r="F19" i="21"/>
  <c r="F22" i="21"/>
  <c r="F24" i="21"/>
  <c r="F25" i="21"/>
  <c r="F26" i="21"/>
  <c r="F27" i="21"/>
  <c r="F29" i="21"/>
  <c r="F30" i="21"/>
  <c r="F31" i="21"/>
  <c r="F32" i="21"/>
  <c r="F33" i="21"/>
  <c r="F34" i="21"/>
  <c r="F37" i="21"/>
  <c r="F38" i="21"/>
  <c r="F39" i="21"/>
  <c r="F40" i="21"/>
  <c r="F41" i="21"/>
  <c r="F43" i="21"/>
  <c r="F44" i="21"/>
  <c r="F45" i="21"/>
  <c r="F46" i="21"/>
  <c r="F47" i="21"/>
  <c r="F48" i="21"/>
  <c r="F49" i="21"/>
  <c r="F50" i="21"/>
  <c r="F51" i="21"/>
  <c r="F52" i="21"/>
  <c r="F53" i="21"/>
  <c r="F54" i="21"/>
  <c r="F55" i="21"/>
  <c r="F56" i="21"/>
  <c r="F57" i="21"/>
  <c r="F58" i="21"/>
  <c r="F59" i="21"/>
  <c r="F60" i="21"/>
  <c r="F61" i="21"/>
  <c r="F14" i="21"/>
  <c r="O4" i="22"/>
  <c r="K2" i="22"/>
  <c r="W8" i="22"/>
  <c r="W4" i="22"/>
  <c r="W3" i="22"/>
  <c r="W2" i="22"/>
  <c r="W5" i="22"/>
  <c r="S2" i="22"/>
  <c r="S6" i="22"/>
  <c r="S5" i="22"/>
  <c r="S4" i="22"/>
  <c r="S3" i="22"/>
  <c r="O3" i="22"/>
  <c r="O2" i="22"/>
  <c r="K6" i="22"/>
  <c r="K5" i="22"/>
  <c r="O6" i="22"/>
  <c r="AA10" i="22"/>
  <c r="AA9" i="22"/>
  <c r="AA8" i="22"/>
  <c r="AA7" i="22"/>
  <c r="AA6" i="22"/>
  <c r="K3" i="22"/>
  <c r="O5" i="22"/>
  <c r="K4" i="22"/>
  <c r="G8" i="22"/>
  <c r="G7" i="22"/>
  <c r="G6" i="22"/>
  <c r="G5" i="22"/>
  <c r="AA3" i="22"/>
  <c r="AA5" i="22"/>
  <c r="AA2" i="22"/>
  <c r="G2" i="22"/>
  <c r="C3" i="22"/>
  <c r="C4" i="22"/>
  <c r="C5" i="22"/>
  <c r="C6" i="22"/>
  <c r="C8" i="22"/>
  <c r="C9" i="22"/>
  <c r="C10" i="22"/>
  <c r="C11" i="22"/>
  <c r="C12" i="22"/>
  <c r="C2" i="22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14" i="19"/>
  <c r="F35" i="21" l="1"/>
  <c r="A8" i="22"/>
  <c r="E16" i="21"/>
  <c r="E17" i="21"/>
  <c r="A6" i="22"/>
  <c r="A10" i="22"/>
  <c r="E18" i="21"/>
  <c r="E19" i="21"/>
  <c r="A11" i="22"/>
  <c r="A12" i="22"/>
  <c r="E20" i="21"/>
  <c r="E21" i="21"/>
  <c r="A5" i="22"/>
  <c r="I4" i="22"/>
  <c r="E23" i="21"/>
  <c r="E24" i="21"/>
  <c r="M4" i="22"/>
  <c r="E25" i="21"/>
  <c r="M5" i="22"/>
  <c r="E26" i="21"/>
  <c r="I2" i="22"/>
  <c r="E28" i="21"/>
  <c r="I3" i="22"/>
  <c r="M6" i="22"/>
  <c r="E29" i="21"/>
  <c r="I5" i="22"/>
  <c r="E30" i="21"/>
  <c r="I6" i="22"/>
  <c r="E31" i="21"/>
  <c r="M2" i="22"/>
  <c r="E32" i="21"/>
  <c r="M3" i="22"/>
  <c r="E33" i="21"/>
  <c r="Y2" i="22"/>
  <c r="E34" i="21"/>
  <c r="E35" i="21"/>
  <c r="Y4" i="22"/>
  <c r="A2" i="22"/>
  <c r="E36" i="21"/>
  <c r="A3" i="22"/>
  <c r="E37" i="21"/>
  <c r="Y5" i="22"/>
  <c r="E38" i="21"/>
  <c r="E39" i="21"/>
  <c r="Y3" i="22"/>
  <c r="E40" i="21"/>
  <c r="E5" i="22"/>
  <c r="E41" i="21"/>
  <c r="E6" i="22"/>
  <c r="E7" i="22"/>
  <c r="E42" i="21"/>
  <c r="E8" i="22"/>
  <c r="E43" i="21"/>
  <c r="E2" i="22"/>
  <c r="E22" i="21"/>
  <c r="E44" i="21"/>
  <c r="Q3" i="22"/>
  <c r="E45" i="21"/>
  <c r="Q4" i="22"/>
  <c r="E46" i="21"/>
  <c r="Q5" i="22"/>
  <c r="E47" i="21"/>
  <c r="Q6" i="22"/>
  <c r="Y6" i="22"/>
  <c r="E48" i="21"/>
  <c r="E49" i="21"/>
  <c r="Y7" i="22"/>
  <c r="Y8" i="22"/>
  <c r="E50" i="21"/>
  <c r="Y9" i="22"/>
  <c r="E51" i="21"/>
  <c r="Y10" i="22"/>
  <c r="E52" i="21"/>
  <c r="E53" i="21"/>
  <c r="U5" i="22"/>
  <c r="E54" i="21"/>
  <c r="U2" i="22"/>
  <c r="U3" i="22"/>
  <c r="E55" i="21"/>
  <c r="Q2" i="22"/>
  <c r="E56" i="21"/>
  <c r="E57" i="21"/>
  <c r="U4" i="22"/>
  <c r="E58" i="21"/>
  <c r="U8" i="22"/>
  <c r="E59" i="21"/>
  <c r="U7" i="22"/>
  <c r="U6" i="22"/>
  <c r="E61" i="21"/>
</calcChain>
</file>

<file path=xl/sharedStrings.xml><?xml version="1.0" encoding="utf-8"?>
<sst xmlns="http://schemas.openxmlformats.org/spreadsheetml/2006/main" count="5695" uniqueCount="744">
  <si>
    <t>Sector</t>
  </si>
  <si>
    <t>Department-P&amp;P</t>
  </si>
  <si>
    <t>Cost center</t>
  </si>
  <si>
    <t>PBP Emp. Name</t>
  </si>
  <si>
    <t>Email</t>
  </si>
  <si>
    <t>FBP Emp Name</t>
  </si>
  <si>
    <t>Department Name-ADERP</t>
  </si>
  <si>
    <t>FBP -UH</t>
  </si>
  <si>
    <t>Director/ ED Emp Name</t>
  </si>
  <si>
    <t>Key Users Names</t>
  </si>
  <si>
    <t>Key Users Email ID</t>
  </si>
  <si>
    <t xml:space="preserve">CC status </t>
  </si>
  <si>
    <t>Abu Dhabi Arabic Language Centre</t>
  </si>
  <si>
    <t xml:space="preserve">Central (Chairman &amp; ED Offices) </t>
  </si>
  <si>
    <t>Nader Sarieddine</t>
  </si>
  <si>
    <t>nsarieddine@dctabudhabi.ae</t>
  </si>
  <si>
    <t>Yasmeen Zuhair Masoud</t>
  </si>
  <si>
    <t>ymasoud@dctabudhabi.ae</t>
  </si>
  <si>
    <t>DCT - Arabic Language Central</t>
  </si>
  <si>
    <t>Mohannad Al Zubaidi</t>
  </si>
  <si>
    <t>Saeed H. Al Tunaiji</t>
  </si>
  <si>
    <t>Iman Saigal, soraya</t>
  </si>
  <si>
    <t>SFarag@alc.ae</t>
  </si>
  <si>
    <t xml:space="preserve">Active </t>
  </si>
  <si>
    <t>Marketing &amp; Communications Department</t>
  </si>
  <si>
    <t>Dr.Yasser Mohammed Zamzam</t>
  </si>
  <si>
    <t>Malek Mohammad Abu Ageel, Hanya Alkhadra, Alicia Avila Al Mutawa, Asma Abdulla Alfalasi</t>
  </si>
  <si>
    <t>MAgeel@alc.ae, HAlkhadra@alc.ae, AMutawa@alc.ae, AFalasi@alc.ae</t>
  </si>
  <si>
    <t>NOT Active</t>
  </si>
  <si>
    <t>Arabic Language Education &amp; Research Department</t>
  </si>
  <si>
    <t>Khalil Alshaikh</t>
  </si>
  <si>
    <t>Razan Hussein, Mohamed Ghazal</t>
  </si>
  <si>
    <t>RaHussein@alc.ae, MGhazal@alc.ae</t>
  </si>
  <si>
    <t xml:space="preserve">Creative Content Department </t>
  </si>
  <si>
    <t>Nour Diar Bakerli</t>
  </si>
  <si>
    <t>Muataz Mahmoud Eweidat</t>
  </si>
  <si>
    <t>muataz.eweidat@alc.ae</t>
  </si>
  <si>
    <t>Literature Awards Department</t>
  </si>
  <si>
    <t>Abdulrahman Mohamed Alnaqbi</t>
  </si>
  <si>
    <t>Irum Fawad Siddiqui, Rahmah Hasan Al-Abidi</t>
  </si>
  <si>
    <t xml:space="preserve">irum.siddiqui@alc.ae, RAbidi@alc.ae </t>
  </si>
  <si>
    <t>Specialized Library Department</t>
  </si>
  <si>
    <t>Juma Mohammed Ali Al Dhaheri</t>
  </si>
  <si>
    <t>Sara Mohamed Al Saadi</t>
  </si>
  <si>
    <t>SSaadi@alc.ae</t>
  </si>
  <si>
    <t>Strategic Planning Office</t>
  </si>
  <si>
    <t>Karin Aghadjanian</t>
  </si>
  <si>
    <t>Andrawes Snobar</t>
  </si>
  <si>
    <t>ASnobar@alc.ae</t>
  </si>
  <si>
    <t>Bookfairs &amp; Events Department</t>
  </si>
  <si>
    <t>Ayesha Eid AlMazrouei</t>
  </si>
  <si>
    <t>Ammar Ajlouni</t>
  </si>
  <si>
    <t>AAjlouni@alc.ae</t>
  </si>
  <si>
    <t xml:space="preserve">AD Gaming &amp; Digital </t>
  </si>
  <si>
    <t>AD Gaming &amp; Digital Development</t>
  </si>
  <si>
    <t>Hossam El Derbi</t>
  </si>
  <si>
    <t>hderbi@dctabudhabi.ae</t>
  </si>
  <si>
    <t>mzubaidi@dctabudhabi.ae</t>
  </si>
  <si>
    <t xml:space="preserve">ED Gaming </t>
  </si>
  <si>
    <t>Aziza Al Ahmadi</t>
  </si>
  <si>
    <t>Marcos Muller , Renato Franchi ,Ban Kattan</t>
  </si>
  <si>
    <t>MMuller@dctabudhabi.ae,RFranchi@dctabudhabi.ae,BKattan@dctabudhabi.ae</t>
  </si>
  <si>
    <t>Culture</t>
  </si>
  <si>
    <t>Historic Environment</t>
  </si>
  <si>
    <t>Waddah Zanah</t>
  </si>
  <si>
    <t>wzanah@dctabudhabi.ae</t>
  </si>
  <si>
    <t>DCT - Historical Environment Dept</t>
  </si>
  <si>
    <t>Jaber Saleh Al Merri</t>
  </si>
  <si>
    <t xml:space="preserve">Mohammed Al Harmoodi ,Shaikha Al Nasri </t>
  </si>
  <si>
    <t>m.alharmoodi@dctabudhabi.ae/snasri@dctabudhabi.ae</t>
  </si>
  <si>
    <t>Intangible Cultural Heritage</t>
  </si>
  <si>
    <t>DCT - Intangible Heritage Dept</t>
  </si>
  <si>
    <t>Saeed Hamad Ali Al Kaabi</t>
  </si>
  <si>
    <t>Maha Salah Eddin Kilani</t>
  </si>
  <si>
    <t>maha.kilani@dctabudhabi.ae</t>
  </si>
  <si>
    <t>Library Management</t>
  </si>
  <si>
    <t>DCT - library</t>
  </si>
  <si>
    <t>Fatema Abdul Rahman Al Tamimi</t>
  </si>
  <si>
    <t xml:space="preserve">Jasim Mohamed Al Awadi </t>
  </si>
  <si>
    <t>JAwadi@dctabudhabi.ae</t>
  </si>
  <si>
    <t>Office of the Executive Director Culture</t>
  </si>
  <si>
    <t>DCT - Culture (Central) Dept</t>
  </si>
  <si>
    <t>Mehdi Rhaiem</t>
  </si>
  <si>
    <t>Manal Albadi , Mehdi Rhaiem</t>
  </si>
  <si>
    <t>MRhaiem@dctabudhabi.ae , MBadi@dctabudhabi.ae</t>
  </si>
  <si>
    <t xml:space="preserve">Abu Dhabi Public Art </t>
  </si>
  <si>
    <t>Omer Khan</t>
  </si>
  <si>
    <t>okhan@dctabudhabi.ae</t>
  </si>
  <si>
    <t>Reem Ghaith Mousa Fadda</t>
  </si>
  <si>
    <t>Clemence Bergal , Sarah Saadoun</t>
  </si>
  <si>
    <t>SSaadoun@dctabudhabi.ae , CBergal@dctabudhabi.ae</t>
  </si>
  <si>
    <t>Culture Planning &amp; Development</t>
  </si>
  <si>
    <t>DCT - Culture Planning &amp; Development Dept.</t>
  </si>
  <si>
    <t>Manal Albadi , Iman Al Sayed , Asma Ali Al Mutawwa Al Shehhi , Ghaith Othman , Eleonora Bosetto , Badriah Mohammed AlKhoori , Sarah Collins , Ciaran Costello , Dr. Elena Raevskikh</t>
  </si>
  <si>
    <t>MBadi@dctabudhabi.ae,AAAlshehhi@dctabudhabi.ae , IAlSayed@dctabudhabi.ae , GOthman@dctabudhabi.ae , EBosetto@dctabudhabi.ae , BAlKhoori@dctabudhabi.ae , SCollins@dctabudhabi.ae , CCostello@dctabudhabi.ae,ERaevskikh@dctabudhabi.ae</t>
  </si>
  <si>
    <t>Culture Sites Management</t>
  </si>
  <si>
    <t>Omer Khan
Waddah Zanah</t>
  </si>
  <si>
    <t>okhan@dctabudhabi.ae
wzanah@dctabudhabi.ae</t>
  </si>
  <si>
    <t>Noora Al Bader</t>
  </si>
  <si>
    <t>nalbadrsharif@dctabudhabi.ae</t>
  </si>
  <si>
    <t>DCT - Cultural Sites Dept</t>
  </si>
  <si>
    <t>Salama Nasser Daen Alshamsi</t>
  </si>
  <si>
    <t>Yosra El Hassan  , Esraa Mohammed Hashim  , Ahmed Ma'ath Humaid</t>
  </si>
  <si>
    <t>AMHumaid@dctabudhabi.ae,EHashim@dctabudhabi.ae ,YElHassan@dctabudhabi.ae</t>
  </si>
  <si>
    <t>Culture Sector Marketing</t>
  </si>
  <si>
    <t>DCT - Marketing &amp; Communication Dept.</t>
  </si>
  <si>
    <t>Sherine Abdel Ghafar(Sherine Nour)</t>
  </si>
  <si>
    <t>Ehab H.B. Haddad</t>
  </si>
  <si>
    <t>EHaddad@dctabudhabi.ae</t>
  </si>
  <si>
    <t>Culture Programming</t>
  </si>
  <si>
    <t>DCT - Cultural Programs Dept</t>
  </si>
  <si>
    <t>Dyala Nusseibeh , Maria Fatima , Alanood Al Hammadi , Dr. Ronald Perlwitz , Nader Monir , Sarah Saadoun</t>
  </si>
  <si>
    <t>SSaadoun@dctabudhabi.ae , NMonir@dctabudhabi.ae , RPerlwitz@dctabudhabi.ae , AAHammadi@dctabudhabi.ae , MBuensalido@dctabudhabi.ae , DNusseibeh@dctabudhabi.ae</t>
  </si>
  <si>
    <t>Culture Festivals &amp; Platforms Department</t>
  </si>
  <si>
    <t xml:space="preserve">TBD - Farah Abdulhameed Al Bakoush </t>
  </si>
  <si>
    <t>Farah Abdulhameed Al Bakoush , Jood Mohamed Ali Aljneibi ,Mohamed Hassan Osman</t>
  </si>
  <si>
    <t>MOsman@dctabudhabi.ae , JAlJneibi@dctabudhabi.ae ,FBakoush@dctabudhabi.ae</t>
  </si>
  <si>
    <t>Education &amp; Outreach</t>
  </si>
  <si>
    <t xml:space="preserve">Ranya Camille Nasser </t>
  </si>
  <si>
    <t>Rand Abdul Jabbar , James Matthews , Lubna Ali Abdulla Al Teneiji</t>
  </si>
  <si>
    <t>JMatthews@dctabudhabi.ae ,LTeneiji@dctabudhabi.ae,RAbdulJabbar@dctabudhabi.ae</t>
  </si>
  <si>
    <t xml:space="preserve">Office of Undersecretary </t>
  </si>
  <si>
    <t>Office Of Undersecretary</t>
  </si>
  <si>
    <t>DCT - Executive Management Office</t>
  </si>
  <si>
    <t>Saood Abdulaziz Mohamed Alhosa</t>
  </si>
  <si>
    <t>Internal Audit Office</t>
  </si>
  <si>
    <t xml:space="preserve">Internal Audit     </t>
  </si>
  <si>
    <t>Wissam Halimi</t>
  </si>
  <si>
    <t>Ashraf Amro</t>
  </si>
  <si>
    <t>AAmro@dctabudhabi.ae</t>
  </si>
  <si>
    <t>Project Management &amp; Engineering</t>
  </si>
  <si>
    <t xml:space="preserve">Project Management &amp; Engineering </t>
  </si>
  <si>
    <t>Said Ali Al-Khatib</t>
  </si>
  <si>
    <t>Noha Moussa</t>
  </si>
  <si>
    <t>Noha.Moussa@dctabudhabi.ae</t>
  </si>
  <si>
    <t>Tendering &amp; Projects Control</t>
  </si>
  <si>
    <t xml:space="preserve">Tendering &amp; Projects Control </t>
  </si>
  <si>
    <t>Khader bu Abu Ghannam</t>
  </si>
  <si>
    <t>Michella Moussi</t>
  </si>
  <si>
    <t>MMoussi@dctabudhabi.ae</t>
  </si>
  <si>
    <t>Legal &amp; Government Affairs</t>
  </si>
  <si>
    <t xml:space="preserve">Legal &amp; Government Affairs  </t>
  </si>
  <si>
    <t>Mohammed Ahmed Frehat</t>
  </si>
  <si>
    <t>Halima Kourrate</t>
  </si>
  <si>
    <t>HKourrate@dctabudhabi.ae</t>
  </si>
  <si>
    <t xml:space="preserve">Executive Affairs </t>
  </si>
  <si>
    <t>Strategic Affairs</t>
  </si>
  <si>
    <t>Office of the Strategic Affairs Executive Director</t>
  </si>
  <si>
    <t>Anwar AL Mussaibi</t>
  </si>
  <si>
    <t>asalmessabi@dctabudhabi.ae</t>
  </si>
  <si>
    <t>DCT - Office of the Strategic Affairs Executive Director</t>
  </si>
  <si>
    <t>Mohamed Elgayar</t>
  </si>
  <si>
    <t>Saeed Al Fazari</t>
  </si>
  <si>
    <t>Hanaa AbuShawish
Hanzada Abdalaziz</t>
  </si>
  <si>
    <t>Hanaa AbuShawish &lt;HShawish@dctabudhabi.ae&gt;
Hanzada Abdalaziz &lt;HAbdalaziz@dctabudhabi.ae&gt;</t>
  </si>
  <si>
    <t>Strategy Planning</t>
  </si>
  <si>
    <t xml:space="preserve">DCT - Strategy Planning </t>
  </si>
  <si>
    <t xml:space="preserve">Wail Kayali </t>
  </si>
  <si>
    <t>Business Intelligence</t>
  </si>
  <si>
    <t xml:space="preserve">DCT - Business Intelligence </t>
  </si>
  <si>
    <t>David Millan</t>
  </si>
  <si>
    <t>Business Excellence and Continuity</t>
  </si>
  <si>
    <t xml:space="preserve">DCT - Business Exellence &amp; Continuity </t>
  </si>
  <si>
    <t>Abdulla Naeser Al Blooshi</t>
  </si>
  <si>
    <t>Strategic Marketing &amp; Communication</t>
  </si>
  <si>
    <t>Creative &amp; Production</t>
  </si>
  <si>
    <t>Wasim Haider Ali</t>
  </si>
  <si>
    <t>wali@dctabudhabi.ae</t>
  </si>
  <si>
    <t xml:space="preserve">Said Drissi </t>
  </si>
  <si>
    <t>sdrissi@dctabudhabi.ae</t>
  </si>
  <si>
    <t>DCT - Creative and Production Department</t>
  </si>
  <si>
    <t>Ghadeer Khub</t>
  </si>
  <si>
    <t>Emad Haj Abdul Fattah &amp; Mohammed Abdelwahed</t>
  </si>
  <si>
    <t>EFattah@dctabudhabi.ae / MAbdelwahed@dctabudhabi.ae</t>
  </si>
  <si>
    <t>Strategic Communications</t>
  </si>
  <si>
    <t>Jacqueline Jain</t>
  </si>
  <si>
    <t>Planning, Strategy &amp; Operations</t>
  </si>
  <si>
    <t>DCT - Planning, Strategy &amp; Operations Department</t>
  </si>
  <si>
    <t>Georgios Kalliamvakos</t>
  </si>
  <si>
    <t xml:space="preserve">Sector Marketing </t>
  </si>
  <si>
    <t>Emma campbell</t>
  </si>
  <si>
    <t>ED office</t>
  </si>
  <si>
    <t>Nouf AlBoushelaibi</t>
  </si>
  <si>
    <t>Support Services</t>
  </si>
  <si>
    <t>Office of the Executive Director, Support Services</t>
  </si>
  <si>
    <t xml:space="preserve">DCT - Support Services (Central) </t>
  </si>
  <si>
    <t>Hamad Mohammed Saeed Alsudain</t>
  </si>
  <si>
    <t xml:space="preserve">Maissa Ahmad Arke </t>
  </si>
  <si>
    <t>Maissa Ahmad Arke &lt;MArke@dctabudhabi.ae&gt;</t>
  </si>
  <si>
    <t>Finance</t>
  </si>
  <si>
    <t xml:space="preserve">DCT - Finance </t>
  </si>
  <si>
    <t>Rakan Sabbagh</t>
  </si>
  <si>
    <t>Maitha Mohammed Alblooshi</t>
  </si>
  <si>
    <t>MABlooshi@dctabudhabi.ae</t>
  </si>
  <si>
    <t>People &amp; Performance</t>
  </si>
  <si>
    <t xml:space="preserve">DCT - People &amp; Performance </t>
  </si>
  <si>
    <t>Ahmed Mohamed Alhosani</t>
  </si>
  <si>
    <t>Yassar Mehmood Khan</t>
  </si>
  <si>
    <t>ykhan@dctabudhabi.ae</t>
  </si>
  <si>
    <t>Supply Management</t>
  </si>
  <si>
    <t xml:space="preserve">DCT - Supply Management </t>
  </si>
  <si>
    <t>Khalifa Ahmed Almarzooqi</t>
  </si>
  <si>
    <t>Muhammad Mubeen</t>
  </si>
  <si>
    <t>Muhammad Mubeen &lt;MMubeen@dctabudhabi.ae&gt;</t>
  </si>
  <si>
    <t>Technology</t>
  </si>
  <si>
    <t>Nader Sarieddine
Mohammed Sherief</t>
  </si>
  <si>
    <t>nsarieddine@dctabudhabi.ae
mssairaj@dctabudhabi.ae</t>
  </si>
  <si>
    <t xml:space="preserve">DCT - Smart System &amp; Government Services </t>
  </si>
  <si>
    <t>Abdel Ghani Amer</t>
  </si>
  <si>
    <t>Saji Asok</t>
  </si>
  <si>
    <t>sasok@dctabudhabi.ae</t>
  </si>
  <si>
    <t xml:space="preserve">Facilities Management &amp; General Services </t>
  </si>
  <si>
    <t>Mohammed Sherief</t>
  </si>
  <si>
    <t>mssairaj@dctabudhabi.ae</t>
  </si>
  <si>
    <t>DCT - Facility &amp; General Services Management</t>
  </si>
  <si>
    <t>Omar Al Jawhari, Abdulrahman Baharoon</t>
  </si>
  <si>
    <t>Tourism</t>
  </si>
  <si>
    <t>Licensing &amp; Regulatory Compliance</t>
  </si>
  <si>
    <t>Belal Ghassan</t>
  </si>
  <si>
    <t>bghassan@dctabudhabi.ae</t>
  </si>
  <si>
    <t xml:space="preserve">DCT - Control &amp; Licensing </t>
  </si>
  <si>
    <t>Sultan S. Al Awani</t>
  </si>
  <si>
    <t>Hana Rabba</t>
  </si>
  <si>
    <t>HYRabah@dctabudhabi.ae</t>
  </si>
  <si>
    <t>Visitors Experience</t>
  </si>
  <si>
    <t>Mohammed Sherief Sairaj</t>
  </si>
  <si>
    <t xml:space="preserve">DCT - Visitor Experience &amp; Tourism Products Development  </t>
  </si>
  <si>
    <t>Gihan El Matbouly</t>
  </si>
  <si>
    <t>Faheem Mohammed</t>
  </si>
  <si>
    <t>FUMohammed@dctabudhabi.ae</t>
  </si>
  <si>
    <t>Abu Dhabi Conventions &amp; Exhibition Bureau</t>
  </si>
  <si>
    <t>Fatema Mohsin al fardan</t>
  </si>
  <si>
    <t>falfardan@dctabudhabi.ae</t>
  </si>
  <si>
    <t>DCT - Abu Dhabi Conventions &amp; Exhibition Bureau</t>
  </si>
  <si>
    <t>Mubarak Hamad Al Shamisi</t>
  </si>
  <si>
    <t>Asanka Lankapurage / SaKumar@dctabudhabi.ae</t>
  </si>
  <si>
    <t>ALankapurage@dctabudhabi.ae / SaKumar@dctabudhabi.ae</t>
  </si>
  <si>
    <t>Abu Dhabi Events Bureau</t>
  </si>
  <si>
    <t>Amruddin Shajahan</t>
  </si>
  <si>
    <t>ashajahan@dctabudhabi.ae</t>
  </si>
  <si>
    <t>DCT - Abu Dhabi Events Bureau</t>
  </si>
  <si>
    <t>Fakhry Maher Alsarraj</t>
  </si>
  <si>
    <t>Mohamed Rafiudeen Samsudeen</t>
  </si>
  <si>
    <t>msamsudeen@dctabudhabi.ae</t>
  </si>
  <si>
    <t>Al Ain &amp; Al Dhafra Regional Development</t>
  </si>
  <si>
    <t>DCT - Al Ain &amp; Al Dhafra Regional Development Department</t>
  </si>
  <si>
    <t>Saeed  A. Al Dhaheri</t>
  </si>
  <si>
    <t>Zoran Ninic</t>
  </si>
  <si>
    <t>ZNinic@dctabudhabi.ae</t>
  </si>
  <si>
    <t>Tourism Sector Management Office</t>
  </si>
  <si>
    <t xml:space="preserve">DCT - Tourism (Central) </t>
  </si>
  <si>
    <t>Faisal Nasir Aziz Khan/ Maie Ezzudin</t>
  </si>
  <si>
    <t>Vidya Gorthi / Nouf Aldosari</t>
  </si>
  <si>
    <t>VGorthy@dctabudhabi.ae / NAldosari@dctabudhabi.ae</t>
  </si>
  <si>
    <t>International Operations</t>
  </si>
  <si>
    <t>International Operations Department</t>
  </si>
  <si>
    <t>Abdulla Yousuf Mohammad</t>
  </si>
  <si>
    <t>Diaa Ahmed &amp; Mohamed Abdelsamia</t>
  </si>
  <si>
    <t>DSherif@dctabudhabi.ae /MMohamed@dctabudhabi.ae</t>
  </si>
  <si>
    <t>Office of Director General, Tourism</t>
  </si>
  <si>
    <t>Saleh Mohammed Al Gaziry</t>
  </si>
  <si>
    <t>MEzzeldin@dctabudhabi.ae</t>
  </si>
  <si>
    <t>Tourism Products Development</t>
  </si>
  <si>
    <t>MSSairaj@dctabudhabi.ae</t>
  </si>
  <si>
    <t>Mohamed Ahmed Al Zaabi</t>
  </si>
  <si>
    <t>Abdulla Alblooshi</t>
  </si>
  <si>
    <t>AbSBlooshi@dctabudhabi.ae</t>
  </si>
  <si>
    <t>Old Sector</t>
  </si>
  <si>
    <t>Old Department Name-ADERP-as Per DOF</t>
  </si>
  <si>
    <t>New Cost center</t>
  </si>
  <si>
    <t>New Sector</t>
  </si>
  <si>
    <t>New Department Name-ADERP</t>
  </si>
  <si>
    <t>Remarks</t>
  </si>
  <si>
    <t>AP Name</t>
  </si>
  <si>
    <t>AP Emails</t>
  </si>
  <si>
    <t xml:space="preserve">Director /ED Email </t>
  </si>
  <si>
    <t>Action</t>
  </si>
  <si>
    <t>Arabic Language Centre</t>
  </si>
  <si>
    <t>ALC - Arabic Language Centre (Central)</t>
  </si>
  <si>
    <t>Nader Khaled Sarieddine</t>
  </si>
  <si>
    <t>Abdulrahman Alyafei</t>
  </si>
  <si>
    <t>Ibrahim Al jeinbi</t>
  </si>
  <si>
    <t>ialjneibi@dctabudhabi.ae</t>
  </si>
  <si>
    <t>stanaiji@alc.ae</t>
  </si>
  <si>
    <t>Iman Saigal, soraya,Walid Ahmed Alaaeldin</t>
  </si>
  <si>
    <t>SFarag@alc.ae waaeldin@alc.ae</t>
  </si>
  <si>
    <t>ALC- Marketing &amp; Communications Department</t>
  </si>
  <si>
    <t>yzamzam@alc.ae</t>
  </si>
  <si>
    <t>ALC- Arabic Language Education &amp; Research Department</t>
  </si>
  <si>
    <t>kalshaikh@alc.ae</t>
  </si>
  <si>
    <t>ALC- Creative Content Department</t>
  </si>
  <si>
    <t>ndiarbakerli@alc.ae</t>
  </si>
  <si>
    <t>ALC- Bookfairs &amp; Events Department</t>
  </si>
  <si>
    <t>amazrouei@alc.ae</t>
  </si>
  <si>
    <t>ALC- Literature Awards Department</t>
  </si>
  <si>
    <t>alnaqbi@alc.ae</t>
  </si>
  <si>
    <t>ALC- Specialized Library Department</t>
  </si>
  <si>
    <t>jdhaheri@alc.ae</t>
  </si>
  <si>
    <t>ALC- Strategic Planning Office</t>
  </si>
  <si>
    <t>karin.aghadjanian@alc.ae</t>
  </si>
  <si>
    <t>ALC - Corporate Communication Office Head</t>
  </si>
  <si>
    <t>Walid Ahmed Alaaeldin</t>
  </si>
  <si>
    <t>waaeldin@alc.ae</t>
  </si>
  <si>
    <t>Khawla Ibrahim Almarzooqi
Hafsa Mohamed Saeed Hamoud Al BUSeedi</t>
  </si>
  <si>
    <t>kmarzooqi@alc.ae, hafsa.albusaeedi@alc.ae</t>
  </si>
  <si>
    <t>Waddah Mohammad Zanah</t>
  </si>
  <si>
    <t>Mohamed Thabit/Ahmed Samaneh</t>
  </si>
  <si>
    <t>mthabet@dctabudhabi.ae/asamaneh@dctabudhabi.ae</t>
  </si>
  <si>
    <t xml:space="preserve">Jaber Saleh Al Merri
</t>
  </si>
  <si>
    <t>Jaber.Almerri@dctabudhabi.ae</t>
  </si>
  <si>
    <t>Hafsa Mohamed Saeed Hamoud Al BUSeedi</t>
  </si>
  <si>
    <t>m.alharmoodi@dctabudhabi.ae</t>
  </si>
  <si>
    <t>DCT - Intangible Cultural Heritage Department</t>
  </si>
  <si>
    <t>Farah Abdulhameed Al Bakoush</t>
  </si>
  <si>
    <t>FBakoush@dctabudhabi.ae</t>
  </si>
  <si>
    <t>Maha Salah Aldeen Kilani</t>
  </si>
  <si>
    <t>DCT - Library Dept</t>
  </si>
  <si>
    <t>DCT - Library Management Department</t>
  </si>
  <si>
    <t>fatema.altamimi@dctabudhabi.ae</t>
  </si>
  <si>
    <t>Jasim Mohamed Al Awadi</t>
  </si>
  <si>
    <t>jawadi@dctabudhabi.ae</t>
  </si>
  <si>
    <t xml:space="preserve">Rita Aoun
</t>
  </si>
  <si>
    <t>RAoun@dctabudhabi.ae</t>
  </si>
  <si>
    <t xml:space="preserve">Mehdi Rhaiem
</t>
  </si>
  <si>
    <t>MRhaiem@dctabudhabi.ae</t>
  </si>
  <si>
    <t>DCT - Abu Dhabi Public Art</t>
  </si>
  <si>
    <t>Omer Khan Habib</t>
  </si>
  <si>
    <t xml:space="preserve">Reem Ghaith Fadda
</t>
  </si>
  <si>
    <t>RFadda@dctabudhabi.ae</t>
  </si>
  <si>
    <t xml:space="preserve">Clemence Marie Bergal
</t>
  </si>
  <si>
    <t>CBergal@dctabudhabi.ae</t>
  </si>
  <si>
    <t>DCT - Scientific, Curatorial and Collection Department</t>
  </si>
  <si>
    <t>DCT - Culture Sites Management Department</t>
  </si>
  <si>
    <t>Omer Khan Habib &amp;
Waddah Mohammad Zanah</t>
  </si>
  <si>
    <t xml:space="preserve">okhan@dctabudhabi.ae
wzanah@dctabudhabi.ae
</t>
  </si>
  <si>
    <t>Salama Nasser Al Shamsi/Ahmed Ma'ath Humaid</t>
  </si>
  <si>
    <t>salshamsi@dctabudhabi.ae/amhumaid@dctabudhabi.ae</t>
  </si>
  <si>
    <t xml:space="preserve">Esraa Mohamed Al Atayeb  Yosra El Hassan Imaad Riaz </t>
  </si>
  <si>
    <t>EHashim@dctabudhabi.ae YElHassan@dctabudhabi.ae IRiaz@dctabudhabi.ae</t>
  </si>
  <si>
    <t>DCT - Culture Sector Marketing Department</t>
  </si>
  <si>
    <t>Sherine Noural Din AbdelGafar</t>
  </si>
  <si>
    <t>SAbdelGafar@dctabudhabi.ae</t>
  </si>
  <si>
    <t>Ehab Hani Haddad</t>
  </si>
  <si>
    <t>DCT - Culture Programming Department</t>
  </si>
  <si>
    <t>Sarah Saadoun</t>
  </si>
  <si>
    <t>SSaadoun@dctabudhabi.ae</t>
  </si>
  <si>
    <t>DCT – Culture Festivals &amp; Platforms Dept</t>
  </si>
  <si>
    <t>Hanan Nezam Alasad</t>
  </si>
  <si>
    <t>halasad@dctabudhabi.ae</t>
  </si>
  <si>
    <t xml:space="preserve">Jood Mohamed AlJneibi  Rowdha Mohamed Alnaqeeb </t>
  </si>
  <si>
    <t>JAlJneibi@dctabudhabi.ae RAlnaqeeb@dctabudhabi.ae</t>
  </si>
  <si>
    <t>DCT - Education &amp; Outreach Dept</t>
  </si>
  <si>
    <t>RNasser@dctabudhabi.ae</t>
  </si>
  <si>
    <t xml:space="preserve">Rand Abdul Jabbar  Lubna Ali Abdulla Al Teneiji  Moza Humaid AlMazroua </t>
  </si>
  <si>
    <t>RAbdulJabbar@dctabudhabi.ae LTeneiji@dctabudhabi.ae  MAlmazroua@dctabudhabi.ae</t>
  </si>
  <si>
    <t>DCT - Culture Sector Policy and Development Office</t>
  </si>
  <si>
    <t>DCT - Executive Mngt Office</t>
  </si>
  <si>
    <t xml:space="preserve">Executive Office </t>
  </si>
  <si>
    <t>DCT - Executive Management Office (Central)</t>
  </si>
  <si>
    <t>Hossam Bassem El-Derbi</t>
  </si>
  <si>
    <t>Hiba Hassan</t>
  </si>
  <si>
    <t>hsleiman@dctabudhabi.ae</t>
  </si>
  <si>
    <t>Saood Abdulaziz Mohamed Al Hosani</t>
  </si>
  <si>
    <t>SMAlHosani@dctabudhabi.ae</t>
  </si>
  <si>
    <t>Fatima Hamad Al Midfa</t>
  </si>
  <si>
    <t>FHMidfa@dctabudhabi.ae</t>
  </si>
  <si>
    <t>DCT - Internal Audit Dept</t>
  </si>
  <si>
    <t>DCT - Internal Audit Office</t>
  </si>
  <si>
    <t>Marawan Mostafa Gadalla</t>
  </si>
  <si>
    <t>mgadalla@dctabudhabi.ae</t>
  </si>
  <si>
    <t>Hassan Wael Barghouthi</t>
  </si>
  <si>
    <t>HBarghouthi@dctabudhabi.ae</t>
  </si>
  <si>
    <t>DCT - Projects Management &amp; Engineering Dept</t>
  </si>
  <si>
    <t>Hossam Hamroush</t>
  </si>
  <si>
    <t>hhamroush@dctabudhabi.ae</t>
  </si>
  <si>
    <t>Mohamed Thabit</t>
  </si>
  <si>
    <t>mthabet@dctabudhabi.ae</t>
  </si>
  <si>
    <t>Basel Ahmad AbuYousef</t>
  </si>
  <si>
    <t>BYousef@dctabudhabi.ae</t>
  </si>
  <si>
    <t>DCT – Tendering &amp; Projects Control Dept.</t>
  </si>
  <si>
    <t>Khader Issa Abu Ghannam</t>
  </si>
  <si>
    <t>KGhannam@dctabudhabi.ae</t>
  </si>
  <si>
    <t>DCT - Legal &amp; Government Affairs Dept</t>
  </si>
  <si>
    <t>Mohammad Ahmed Al Frehat</t>
  </si>
  <si>
    <t>MFrehat@dctabudhabi.ae</t>
  </si>
  <si>
    <t>DCT - Al Ain Region Office</t>
  </si>
  <si>
    <t>DCT - Executive Affairs Department</t>
  </si>
  <si>
    <t>DCT - Strategy Affairs (Central) DEPT.</t>
  </si>
  <si>
    <t>Shamsa Al Shebli</t>
  </si>
  <si>
    <t>shamsa.alshebli@dctabudhabi.ae</t>
  </si>
  <si>
    <t>Saeed Ali Al Fazari</t>
  </si>
  <si>
    <t>Sfazari@dctabudhabi.ae</t>
  </si>
  <si>
    <t>Hanaa AbuShawish</t>
  </si>
  <si>
    <t>HShawish@dctabudhabi.ae</t>
  </si>
  <si>
    <t>DCT - Strategy Planning Dept</t>
  </si>
  <si>
    <t>Wail Alkayali Al Alem</t>
  </si>
  <si>
    <t>wKayali@dctabudhabi.ae</t>
  </si>
  <si>
    <t>Hanzada Abdalaziz</t>
  </si>
  <si>
    <t>HAbdalaziz@dctabudhabi.ae</t>
  </si>
  <si>
    <t>DCT - Business Intelligence Dept</t>
  </si>
  <si>
    <t>DCT - Data &amp; AI Department</t>
  </si>
  <si>
    <t>David Millan Ruiz</t>
  </si>
  <si>
    <t>DMillan@dctabudhabi.ae</t>
  </si>
  <si>
    <t>Manish Kumar</t>
  </si>
  <si>
    <t>MVaidya@dctabudhabi.ae</t>
  </si>
  <si>
    <t>DCT - Business Continuity Dept</t>
  </si>
  <si>
    <t>DCT - Business Excellence and Continuity Department</t>
  </si>
  <si>
    <t>Abdulla Nasser Alblooshi</t>
  </si>
  <si>
    <t>ANBlooshi@dctabudhabi.ae</t>
  </si>
  <si>
    <t>Anas Mohd Azeezyeh</t>
  </si>
  <si>
    <t>AAzeezyeh@dctabudhabi.ae</t>
  </si>
  <si>
    <t>DCT - Organization Strategy &amp; Transformation Department</t>
  </si>
  <si>
    <t>DCT - Organization Developments &amp; Change Enablement Department</t>
  </si>
  <si>
    <t xml:space="preserve">Salma Fouad Fadhel </t>
  </si>
  <si>
    <t>SAFadhel@dctabudhabi.ae</t>
  </si>
  <si>
    <t>Hazim Yousef Abu Al Rous</t>
  </si>
  <si>
    <t>HZAbuAlRous@dctabudhabi.ae</t>
  </si>
  <si>
    <t>DCT -  CMA -  Gaming &amp; Digital Development Department</t>
  </si>
  <si>
    <t>DCT - AD Gaming Business Development Department</t>
  </si>
  <si>
    <t>Mohamed Siyad</t>
  </si>
  <si>
    <t>mnalakath@dctabudhabi.ae</t>
  </si>
  <si>
    <t>Hector Frigola Alcalde</t>
  </si>
  <si>
    <t>HFrigola@dctabudhabi.ae</t>
  </si>
  <si>
    <t>Elizabeth Santos Bernardo</t>
  </si>
  <si>
    <t>EBernardo.ADG@dctabudhabi.ae</t>
  </si>
  <si>
    <t>DCT - Sandstorm Comics Department</t>
  </si>
  <si>
    <t>Mohammed Hamed Abedin</t>
  </si>
  <si>
    <t>MAbedin@dctabudhabi.ae</t>
  </si>
  <si>
    <t>Julie Cedo</t>
  </si>
  <si>
    <t>JCedo@dctabudhabi.ae</t>
  </si>
  <si>
    <t>DCT - Sector Enablement Department</t>
  </si>
  <si>
    <t>DCT - Creative, Social, &amp; Digital Department</t>
  </si>
  <si>
    <t>Wasim Ali Ali</t>
  </si>
  <si>
    <t>GKhub@dctabudhabi.ae</t>
  </si>
  <si>
    <t>DCT - Strategic Communications Department</t>
  </si>
  <si>
    <t>Nishita Virkar</t>
  </si>
  <si>
    <t>NVirkar@dctabudhabi.ae</t>
  </si>
  <si>
    <t>GKalliamvakos@dctabudhabi.ae</t>
  </si>
  <si>
    <t>DCT - Sector Marketing Department</t>
  </si>
  <si>
    <t>ECampbell@dctabudhabi.ae</t>
  </si>
  <si>
    <t>DCT - Central Strategic MarComms</t>
  </si>
  <si>
    <t>DCT - Support Services (Central) Dept</t>
  </si>
  <si>
    <t>Amna Hamad Alsuwaidi</t>
  </si>
  <si>
    <t>amalsuwaidi@dctabudhabi.ae</t>
  </si>
  <si>
    <t>Hsudain@dctabudhabi.ae</t>
  </si>
  <si>
    <t>Hamad Ali Alrumaithi</t>
  </si>
  <si>
    <t>HAlrumaithi@dctabudhabi.ae</t>
  </si>
  <si>
    <t>DCT - Finance Dept</t>
  </si>
  <si>
    <t>Hashem N. Al Kaabi</t>
  </si>
  <si>
    <t>hkaabi@dctabudhabi.ae</t>
  </si>
  <si>
    <t>DCT - People &amp; Performance Dept</t>
  </si>
  <si>
    <t>AMHosani@dctabudhabi.ae</t>
  </si>
  <si>
    <t>DCT - Supply Management Dept</t>
  </si>
  <si>
    <t>KAMarzooqi@dctabudhabi.ae</t>
  </si>
  <si>
    <t>MMubeen@dctabudhabi.ae</t>
  </si>
  <si>
    <t>DCT - Smart Systems &amp; GovernmentServices Dept</t>
  </si>
  <si>
    <t>DCT - Technology Department</t>
  </si>
  <si>
    <t>Mohammed Sairaj</t>
  </si>
  <si>
    <t>AGAmer@dctabudhabi.ae</t>
  </si>
  <si>
    <t>Khaled Atef AlMestaihi</t>
  </si>
  <si>
    <t>Wael Omar Al Shalabi</t>
  </si>
  <si>
    <t>wshalabi@dctabudhabi.ae</t>
  </si>
  <si>
    <t>DCT-Licensing &amp; Regulatory Compliance Department</t>
  </si>
  <si>
    <t>sawani@dctabudhabi.ae</t>
  </si>
  <si>
    <t>Hana Yasser Rabah</t>
  </si>
  <si>
    <t>DCT - Visitor Experience Department</t>
  </si>
  <si>
    <t>Fatema Alfardan</t>
  </si>
  <si>
    <t>Muhannad Al Nabulsi/Fatima Tawfiq Shraideh</t>
  </si>
  <si>
    <t>mnabulsi@dctabudhabi.ae/fshraideh@dctabudhabi.ae</t>
  </si>
  <si>
    <t>Jue Lu</t>
  </si>
  <si>
    <t>JULu@dctabudhabi.ae</t>
  </si>
  <si>
    <t>Faheem Uddin Mohammed</t>
  </si>
  <si>
    <t>Lateefa  Aldehaim</t>
  </si>
  <si>
    <t>laldehaim@dctabudhabi.ae</t>
  </si>
  <si>
    <t>mshamisi@dctabudhabi.ae</t>
  </si>
  <si>
    <t>Asanka Thushara Lankapurage</t>
  </si>
  <si>
    <t>ALankapurage@dctabudhabi.ae</t>
  </si>
  <si>
    <t>Shaza Aly</t>
  </si>
  <si>
    <t>saly@dctabudhabi.ae</t>
  </si>
  <si>
    <t>FAlsarraj@dctabudhabi.ae</t>
  </si>
  <si>
    <t>Karim Tarek Kabil /
Mohamed Rafiudeen Samsudeen</t>
  </si>
  <si>
    <t>KKabil@dctabudhabi.ae /MSamsudeen@dctabudhabi.ae</t>
  </si>
  <si>
    <t>DCT-Destination Management Department</t>
  </si>
  <si>
    <t>Saeed Abdulla AL Dhaheri</t>
  </si>
  <si>
    <t>sdaheri@dctabudhabi.ae</t>
  </si>
  <si>
    <t>DCT - Tourism (Central) Dept</t>
  </si>
  <si>
    <t>DCT - Tourism Sector Management Office</t>
  </si>
  <si>
    <t>Faisal Nasir Aziz Khan</t>
  </si>
  <si>
    <t>FKhan@dctabudhabi.ae</t>
  </si>
  <si>
    <t>Bahaa Redwan Alam Eddine</t>
  </si>
  <si>
    <t>BAlamEddine@dctabudhabi.ae</t>
  </si>
  <si>
    <t>DCT-International Operations Department</t>
  </si>
  <si>
    <t>DCT - International Operations Department</t>
  </si>
  <si>
    <t>Abdulla Yousuf Mohamed</t>
  </si>
  <si>
    <t>AYMohammad@dctabudhabi.ae</t>
  </si>
  <si>
    <t xml:space="preserve">
Mohamed Abdelsamia Mohamed</t>
  </si>
  <si>
    <t>MMohamed@dctabudhabi.ae</t>
  </si>
  <si>
    <t>DCT- DG Office Tourism</t>
  </si>
  <si>
    <t>Muhannad Al Nabulsi/Fatima Al Zaabi</t>
  </si>
  <si>
    <t>DCT - Tourism Products Development Department</t>
  </si>
  <si>
    <t>Haitham Ali Khamis</t>
  </si>
  <si>
    <t>HKhamis@dctabudhabi.ae</t>
  </si>
  <si>
    <t>Fahad Jamal Saeed Ali</t>
  </si>
  <si>
    <t>FAli@dctabudhabi.ae</t>
  </si>
  <si>
    <t>DCT- Emiratization &amp; Capability Development Office</t>
  </si>
  <si>
    <t>malzaabi@dctabudhabi.ae</t>
  </si>
  <si>
    <t>Mohammed Salah Almessabi</t>
  </si>
  <si>
    <t>MAlmessabi@dctabudhabi.ae</t>
  </si>
  <si>
    <t>Name Update</t>
  </si>
  <si>
    <t>No Action</t>
  </si>
  <si>
    <t>Mohammed Abdulla Al Harmoodi</t>
  </si>
  <si>
    <t>not required in 2026</t>
  </si>
  <si>
    <t>Create New Cost Center</t>
  </si>
  <si>
    <t>SKhatib@dctabudhabi.ae</t>
  </si>
  <si>
    <t>Marcos Muller Habig</t>
  </si>
  <si>
    <t>MMuller@dctabudhabi.ae</t>
  </si>
  <si>
    <t>New organization chart details</t>
  </si>
  <si>
    <t>Required Action</t>
  </si>
  <si>
    <t>Cost Center</t>
  </si>
  <si>
    <t>Department Old name</t>
  </si>
  <si>
    <t>Parent OR Child</t>
  </si>
  <si>
    <t>Department New name</t>
  </si>
  <si>
    <t xml:space="preserve">Comments </t>
  </si>
  <si>
    <t>New</t>
  </si>
  <si>
    <t>NA</t>
  </si>
  <si>
    <t>Child</t>
  </si>
  <si>
    <t>DCT - Sandstorm Comics
Department</t>
  </si>
  <si>
    <t>DCT - Al Ain Region Office
Department</t>
  </si>
  <si>
    <t>Al Ain Region Office is a new office that was approved in March. As per Admin decree</t>
  </si>
  <si>
    <t xml:space="preserve">Organization Strategy &amp; Transformation Department is a new department that was approved in March. Admin decree attached. </t>
  </si>
  <si>
    <t>There has been a creation of another department, called Sector Enablement Department under SA, which is mainly serving AD Gaming &amp; Comics</t>
  </si>
  <si>
    <t>DCT - Culture Sector Policy and Development</t>
  </si>
  <si>
    <t xml:space="preserve">Culture Sector Policy and Development Office was approved in Dec/Jan. Admin decree attached. </t>
  </si>
  <si>
    <t>DCT - CMA - Gaming &amp; Digital Development Department</t>
  </si>
  <si>
    <t>Matching</t>
  </si>
  <si>
    <t>Amend the Name of Existing Cost Center</t>
  </si>
  <si>
    <t>DCT - Historical Environment Department</t>
  </si>
  <si>
    <t>DCT - Culture Sector (Central) Dept</t>
  </si>
  <si>
    <t>DCT - Culture Sector Department</t>
  </si>
  <si>
    <t>Is now under Culture Programming Department</t>
  </si>
  <si>
    <t xml:space="preserve">Culture Planning Department changed to Scientific, Curatorial and Collection Department in Dec/Jan. As per Admin decree </t>
  </si>
  <si>
    <t xml:space="preserve">	DCT - Cultural Programs Dept</t>
  </si>
  <si>
    <t>DCT - Culture Festivals &amp; Platforms Department</t>
  </si>
  <si>
    <t xml:space="preserve">	DCT - Education &amp; Outreach Dept</t>
  </si>
  <si>
    <t>DCT - Education &amp; Outreach Department</t>
  </si>
  <si>
    <t>DCT - Office Of Undersecretary</t>
  </si>
  <si>
    <t>Neet to confirm</t>
  </si>
  <si>
    <t>DCT - Projects Management &amp; Engineering Department</t>
  </si>
  <si>
    <t>DCT - Tendering &amp; Projects Control Department</t>
  </si>
  <si>
    <t>DCT - Legal &amp; Government Affairs Department</t>
  </si>
  <si>
    <t xml:space="preserve">	DCT - Executive Affairs Department</t>
  </si>
  <si>
    <t>DCT - Strategic Affairs Sector Executive Director</t>
  </si>
  <si>
    <t xml:space="preserve">	DCT - Strategy Planning Dept</t>
  </si>
  <si>
    <t>DCT - Strategic Planning Department</t>
  </si>
  <si>
    <t>DCT - Business Intelligence</t>
  </si>
  <si>
    <t>Business Intelligence Department is recently approved to be retitled as Data &amp; AI Department. As per Admin decree</t>
  </si>
  <si>
    <t>DCT - Business Excellence &amp; Continuity Department</t>
  </si>
  <si>
    <t xml:space="preserve">	DCT - Creative and Production Department</t>
  </si>
  <si>
    <t xml:space="preserve">	DCT - Strategic Communications Department</t>
  </si>
  <si>
    <t>DCT - Strategic Marketing and Communication Sector Department</t>
  </si>
  <si>
    <t>DCT - Support Services Sector Department</t>
  </si>
  <si>
    <t>DCT - Finance Department</t>
  </si>
  <si>
    <t>DCT - People &amp; Performance Department</t>
  </si>
  <si>
    <t>DCT - Supply Management Department</t>
  </si>
  <si>
    <t xml:space="preserve">	4510202</t>
  </si>
  <si>
    <t>Museum Shared Services</t>
  </si>
  <si>
    <t>DCT - Museum Shared Services Department</t>
  </si>
  <si>
    <t>No longer exists - It is now under Supply Management</t>
  </si>
  <si>
    <t>DCT - Licensing &amp; Regulatory Compliance Department</t>
  </si>
  <si>
    <t>DCT - Destination Management Department</t>
  </si>
  <si>
    <t>DCT - Tourism, Director General Department</t>
  </si>
  <si>
    <t>DCT - Tourism Sector</t>
  </si>
  <si>
    <t>DCT - Tourism Sector Management Office Department</t>
  </si>
  <si>
    <t xml:space="preserve">DCT- ED Office Events, Retail &amp; Culinary Fund </t>
  </si>
  <si>
    <t xml:space="preserve">DCT- ED Office VX &amp; Tourism Product Development </t>
  </si>
  <si>
    <t xml:space="preserve"> Sector</t>
  </si>
  <si>
    <t xml:space="preserve">DCT - Al Ain Region Office </t>
  </si>
  <si>
    <t>FD Accounting Flexfield</t>
  </si>
  <si>
    <t>Segment Values Listing</t>
  </si>
  <si>
    <t>Report Run Date:</t>
  </si>
  <si>
    <t>Segment: Cost Center</t>
  </si>
  <si>
    <t>Ledger:  Tourism and Culture LG</t>
  </si>
  <si>
    <t>Prompt</t>
  </si>
  <si>
    <t>Description</t>
  </si>
  <si>
    <t>Creation Date</t>
  </si>
  <si>
    <t>Start Date</t>
  </si>
  <si>
    <t>End Date</t>
  </si>
  <si>
    <t>Enabled</t>
  </si>
  <si>
    <t>Parent</t>
  </si>
  <si>
    <t>Rollup Group</t>
  </si>
  <si>
    <t>Posting Allowed</t>
  </si>
  <si>
    <t>Budget Allowed</t>
  </si>
  <si>
    <t>Account Type</t>
  </si>
  <si>
    <t>Type</t>
  </si>
  <si>
    <t>Active</t>
  </si>
  <si>
    <t>DCT - Whole-of-Govt Accounts</t>
  </si>
  <si>
    <t>Yes</t>
  </si>
  <si>
    <t>No</t>
  </si>
  <si>
    <t>DCT - System set up accounts</t>
  </si>
  <si>
    <t>DCT - Executive Mngt Sector</t>
  </si>
  <si>
    <t>DCT - Louvre Abu Dhabi</t>
  </si>
  <si>
    <t>DCT - Louvre AD – Director's Office</t>
  </si>
  <si>
    <t>DCT - Louvre AD - Scientific, Curatorial and Collection Management</t>
  </si>
  <si>
    <t>DCT - Louvre AD - Education and Cultural Engagement</t>
  </si>
  <si>
    <t>DCT - Louvre AD - Marketing and Communication</t>
  </si>
  <si>
    <t>DCT - Louvre AD - Visitor Experience and Event Management</t>
  </si>
  <si>
    <t>DCT - Louvre AD - Business Support</t>
  </si>
  <si>
    <t>DCT - Louvre AD - Technical Operations</t>
  </si>
  <si>
    <t>DCT - Strategy &amp; Policy Dept</t>
  </si>
  <si>
    <t>TeamLab</t>
  </si>
  <si>
    <t>DCT - Media Affairs Dept</t>
  </si>
  <si>
    <t>DCT - ZNM - Director's office</t>
  </si>
  <si>
    <t>DCT - ZNM - Curatorial &amp; Collection Management</t>
  </si>
  <si>
    <t>DCT - ZNM - Learning &amp; Public Engagement</t>
  </si>
  <si>
    <t>DCT - ZNM - Development &amp; Commercial Services</t>
  </si>
  <si>
    <t>DCT - ZNM - Operations</t>
  </si>
  <si>
    <t>DCT - ZNM - Marketing &amp; Communications</t>
  </si>
  <si>
    <t>DCT - ZNM - Support Services</t>
  </si>
  <si>
    <t>DCT - Guggenheim Abu Dhabi Museum</t>
  </si>
  <si>
    <t>DCT - Support Services Sector</t>
  </si>
  <si>
    <t>DCT  - Tendering and Projects Control Dept</t>
  </si>
  <si>
    <t>DCT - Control &amp; Licensing Dept</t>
  </si>
  <si>
    <t>DCT - Natural History Museum</t>
  </si>
  <si>
    <t>Museum Director</t>
  </si>
  <si>
    <t>Scientific, Curatorial and Collections</t>
  </si>
  <si>
    <t>Curatorial Department</t>
  </si>
  <si>
    <t>Collections Department</t>
  </si>
  <si>
    <t>Learning and Experience</t>
  </si>
  <si>
    <t>Education Department</t>
  </si>
  <si>
    <t>Visitor Experience &amp; Communications Department</t>
  </si>
  <si>
    <t>Museum Development &amp; Operations</t>
  </si>
  <si>
    <t>Partnerships and Commercial Department</t>
  </si>
  <si>
    <t>Operations Department</t>
  </si>
  <si>
    <t>DCT - Guggenheim Museum Abu Dhabi</t>
  </si>
  <si>
    <t>DCT - Culture Sector</t>
  </si>
  <si>
    <t>Natural History Museum Abu Dhabi</t>
  </si>
  <si>
    <t>DCT - Museums Dept</t>
  </si>
  <si>
    <t>DCT - Arts Dept</t>
  </si>
  <si>
    <t>DCT - Projects Dept</t>
  </si>
  <si>
    <t>DCT - Collections Dept</t>
  </si>
  <si>
    <t>DCT - Qaser Al Hosn</t>
  </si>
  <si>
    <t>DCT -Cultural Foundation Dept</t>
  </si>
  <si>
    <t>DCT - Strategy &amp; Planning Sector</t>
  </si>
  <si>
    <t>DCT - Achievement &amp; Performance Dept</t>
  </si>
  <si>
    <t>DCT - Marketing &amp; Communications Sector</t>
  </si>
  <si>
    <t>DCT - Marketing &amp; Communications (Central) Dept</t>
  </si>
  <si>
    <t>DCT - Marketing Dept</t>
  </si>
  <si>
    <t>DCT - Customer Relations &amp; Visitor Experience Dept</t>
  </si>
  <si>
    <t>DCT - Communications &amp; Public Relations Dept</t>
  </si>
  <si>
    <t>DCT- Digital Marketing Dept</t>
  </si>
  <si>
    <t>DCT - Sponsorship</t>
  </si>
  <si>
    <t>DCT- Media Affairs Dept</t>
  </si>
  <si>
    <t>DCT- Tourist Destination Marketing Dept</t>
  </si>
  <si>
    <t>DCT - Cultural Marketing &amp; Dar Al Kuteb Dept</t>
  </si>
  <si>
    <t>MSS - Museums Shared Services</t>
  </si>
  <si>
    <t>MSS - Finance</t>
  </si>
  <si>
    <t>MSS – FIN Abrahamic Family House</t>
  </si>
  <si>
    <t>MSS - People and Performance</t>
  </si>
  <si>
    <t>MSS – Supply Managements</t>
  </si>
  <si>
    <t>MSS - Technology</t>
  </si>
  <si>
    <t>DCT- ED Office Events, Retail &amp; Culinary Fund</t>
  </si>
  <si>
    <t>DCT- ED Office VX &amp; Tourism Product Development</t>
  </si>
  <si>
    <t>DCT - Standards, Regulations &amp; Licensing Dept</t>
  </si>
  <si>
    <t>DCT - Tourist Destination Marketing &amp; Promotion Dept.</t>
  </si>
  <si>
    <t>DCT - Dar Al Kuteb Sector</t>
  </si>
  <si>
    <t>DCT - Dar Al Kuteb (Central) Dept</t>
  </si>
  <si>
    <t>DCT - Exhibitions &amp; Programmes Affairs Dept</t>
  </si>
  <si>
    <t>DCT - Publishing Dept</t>
  </si>
  <si>
    <t>DCT - Sh. Zayed Book Award Dept</t>
  </si>
  <si>
    <t>DCT - Cultural Programs/Heritage Festivals C'tee</t>
  </si>
  <si>
    <t>DCT - Board Cultural Programs/Heritage Festivals C'tee</t>
  </si>
  <si>
    <t>DCT - Logistics &amp; Procurement Cultural Programs/Heritage Festivals C'tee</t>
  </si>
  <si>
    <t>DCT - Communications Cultural Programs/Heritage Festivals C'tee</t>
  </si>
  <si>
    <t>DCT - Finance Cultural Programs/Heritage Festivals C'tee</t>
  </si>
  <si>
    <t>DCT - HR Cultural Programs/Heritage Festivals C'tee</t>
  </si>
  <si>
    <t>DCT -  CMA - Creative Media Authority</t>
  </si>
  <si>
    <t>DCT -  CMA -  Director General</t>
  </si>
  <si>
    <t>DCT -  CMA -  Strategy &amp; Industry Support Office</t>
  </si>
  <si>
    <t>DCT -  CMA -  Support Services Office</t>
  </si>
  <si>
    <t>DCT -  CMA -  Legal Affairs Office</t>
  </si>
  <si>
    <t>DCT -  CMA -  Operations Sector Executive Director Office</t>
  </si>
  <si>
    <t>DCT -  CMA -  Marketing &amp; Communications Department</t>
  </si>
  <si>
    <t>DCT -  CMA -  Film &amp; Multimedia: ADFC Department</t>
  </si>
  <si>
    <t>DCT -  CMA -   Creative Lab Department</t>
  </si>
  <si>
    <t>DCT -  CMA -  Regulatory Affairs Department</t>
  </si>
  <si>
    <t>DCT - National Day Celebration Committee</t>
  </si>
  <si>
    <t>DCD - Ghadan 21 business center</t>
  </si>
  <si>
    <t>DCT - Strategic Initiatives</t>
  </si>
  <si>
    <t>Sector Enablement Department</t>
  </si>
  <si>
    <t>Sandstorm Comics Department</t>
  </si>
  <si>
    <t>ALC - Corporate Communication Office</t>
  </si>
  <si>
    <t>Scientific, Curatorial and Collection Department</t>
  </si>
  <si>
    <t>Hossam</t>
  </si>
  <si>
    <t>Yasmeen</t>
  </si>
  <si>
    <t>Anwar</t>
  </si>
  <si>
    <t>Noora</t>
  </si>
  <si>
    <t>Said</t>
  </si>
  <si>
    <t>Belal</t>
  </si>
  <si>
    <t>New Employee</t>
  </si>
  <si>
    <t>9-Dec-2025 18:47 PM</t>
  </si>
  <si>
    <t>NHMAD – Museum Director</t>
  </si>
  <si>
    <t>NHMAD – Scientific, Curatorial and Collections (sector)</t>
  </si>
  <si>
    <t>NHMAD - Curatorial Department</t>
  </si>
  <si>
    <t>NHMAD - Collections Department</t>
  </si>
  <si>
    <t>NHMAD - Learning and Experience (sector)</t>
  </si>
  <si>
    <t>NHMAD - Education Department</t>
  </si>
  <si>
    <t>NHMAD - Visitor Experience &amp; Communications Department</t>
  </si>
  <si>
    <t>NHMAD - Museum Development &amp; Operations (sector)</t>
  </si>
  <si>
    <t>NHMAD - Partnerships and Commercial Department</t>
  </si>
  <si>
    <t>NHMAD - Operations Department</t>
  </si>
  <si>
    <t>DCT - Historic Environment Department</t>
  </si>
  <si>
    <t>DCT - Culture (Central) Department</t>
  </si>
  <si>
    <t>DCT - Project Management &amp; Engineering Department</t>
  </si>
  <si>
    <t>DCT - Strategic Affairs Sector</t>
  </si>
  <si>
    <t xml:space="preserve">DCT - Sector Marketing Department </t>
  </si>
  <si>
    <t>DCT - Visitors Experience Department</t>
  </si>
  <si>
    <t>DCT - Abu Dhabi Conventions &amp; Exhibitions Bureau</t>
  </si>
  <si>
    <t>DCT - Destinations Management Department</t>
  </si>
  <si>
    <t>Maha Mubarak Al Azizi</t>
  </si>
  <si>
    <t>Benny Jose Joseph</t>
  </si>
  <si>
    <t>Creative and Production Department</t>
  </si>
  <si>
    <t>strategic Communications Department</t>
  </si>
  <si>
    <t>Planning, Strategy &amp; Operations Department</t>
  </si>
  <si>
    <t>Licensing &amp; Regulatory Compliance Department</t>
  </si>
  <si>
    <t>Visitors Experience Department</t>
  </si>
  <si>
    <t>Abu Dhabi Conventions &amp; Exhibition Bureau Department</t>
  </si>
  <si>
    <t>Abu Dhabi Events Bureau Department</t>
  </si>
  <si>
    <t>Active Cost Centers</t>
  </si>
  <si>
    <t>DCT - Louvre AD – Director’s Office</t>
  </si>
  <si>
    <t>DCT - Tendering and Projects Control Dept</t>
  </si>
  <si>
    <t>DCT - Travel Market Development Dept.</t>
  </si>
  <si>
    <t>DCT - Visitor Experience &amp; Tourism Products Development Dept.</t>
  </si>
  <si>
    <t>DCT - CMA - Creative Media Authority</t>
  </si>
  <si>
    <t>DCT - CMA - Director General</t>
  </si>
  <si>
    <t>DCT - CMA - Strategy &amp; Industry Support Office</t>
  </si>
  <si>
    <t>DCT - CMA - Support Services Office</t>
  </si>
  <si>
    <t>DCT - CMA - Legal Affairs Office</t>
  </si>
  <si>
    <t>DCT - CMA - Operations Sector Executive Director Office</t>
  </si>
  <si>
    <t>DCT - CMA - Marketing &amp; Communications Department</t>
  </si>
  <si>
    <t>DCT - CMA - Film &amp; Multimedia: ADFC Department</t>
  </si>
  <si>
    <t>DCT - CMA - Creative Lab Department</t>
  </si>
  <si>
    <t>DCT - CMA - Regulatory Affairs Department</t>
  </si>
  <si>
    <t>kalhashmi@dctabudhabi.ae</t>
  </si>
  <si>
    <t>Khaled Suhail Alhashmi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</si>
</sst>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333333"/>
      <name val="Arial"/>
      <family val="2"/>
    </font>
    <font>
      <sz val="9"/>
      <color rgb="FF145C9E"/>
      <name val="Arial"/>
      <family val="2"/>
    </font>
    <font>
      <b/>
      <sz val="14"/>
      <color theme="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8"/>
      <color theme="1"/>
      <name val="Calibri"/>
      <family val="2"/>
      <scheme val="minor"/>
    </font>
    <font>
      <b/>
      <u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Aptos"/>
      <family val="2"/>
    </font>
  </fonts>
  <fills count="4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6D7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31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thin">
        <color indexed="64"/>
      </bottom>
      <diagonal/>
    </border>
    <border>
      <left/>
      <right style="medium">
        <color rgb="FFEEEEEE"/>
      </right>
      <top/>
      <bottom style="thin">
        <color indexed="64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2" applyNumberFormat="0" applyAlignment="0" applyProtection="0"/>
    <xf numFmtId="0" fontId="6" fillId="28" borderId="3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2" applyNumberFormat="0" applyAlignment="0" applyProtection="0"/>
    <xf numFmtId="0" fontId="13" fillId="0" borderId="7" applyNumberFormat="0" applyFill="0" applyAlignment="0" applyProtection="0"/>
    <xf numFmtId="0" fontId="14" fillId="31" borderId="0" applyNumberFormat="0" applyBorder="0" applyAlignment="0" applyProtection="0"/>
    <xf numFmtId="0" fontId="1" fillId="0" borderId="0"/>
    <xf numFmtId="0" fontId="2" fillId="0" borderId="0"/>
    <xf numFmtId="0" fontId="1" fillId="0" borderId="0"/>
    <xf numFmtId="0" fontId="2" fillId="32" borderId="8" applyNumberFormat="0" applyFont="0" applyAlignment="0" applyProtection="0"/>
    <xf numFmtId="0" fontId="15" fillId="27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2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0" fillId="33" borderId="11" xfId="0" applyFont="1" applyFill="1" applyBorder="1" applyAlignment="1">
      <alignment horizontal="center" vertical="center"/>
    </xf>
    <xf numFmtId="9" fontId="19" fillId="33" borderId="11" xfId="0" applyNumberFormat="1" applyFont="1" applyFill="1" applyBorder="1" applyAlignment="1">
      <alignment vertical="center"/>
    </xf>
    <xf numFmtId="0" fontId="19" fillId="33" borderId="11" xfId="0" applyFont="1" applyFill="1" applyBorder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34" borderId="0" xfId="0" applyFill="1"/>
    <xf numFmtId="0" fontId="19" fillId="35" borderId="11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vertical="center"/>
    </xf>
    <xf numFmtId="9" fontId="19" fillId="33" borderId="12" xfId="0" applyNumberFormat="1" applyFont="1" applyFill="1" applyBorder="1" applyAlignment="1">
      <alignment vertical="center"/>
    </xf>
    <xf numFmtId="0" fontId="19" fillId="33" borderId="12" xfId="0" applyFont="1" applyFill="1" applyBorder="1" applyAlignment="1">
      <alignment vertical="center"/>
    </xf>
    <xf numFmtId="0" fontId="19" fillId="33" borderId="13" xfId="0" applyFont="1" applyFill="1" applyBorder="1" applyAlignment="1">
      <alignment vertical="center"/>
    </xf>
    <xf numFmtId="0" fontId="19" fillId="33" borderId="14" xfId="0" applyFont="1" applyFill="1" applyBorder="1" applyAlignment="1">
      <alignment vertical="center"/>
    </xf>
    <xf numFmtId="0" fontId="17" fillId="36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23" fillId="36" borderId="1" xfId="0" applyFont="1" applyFill="1" applyBorder="1" applyAlignment="1">
      <alignment horizontal="center" vertical="center"/>
    </xf>
    <xf numFmtId="0" fontId="21" fillId="37" borderId="1" xfId="0" applyFont="1" applyFill="1" applyBorder="1" applyAlignment="1">
      <alignment horizontal="center" vertical="center"/>
    </xf>
    <xf numFmtId="0" fontId="2" fillId="7" borderId="2" xfId="6" applyBorder="1" applyAlignment="1">
      <alignment horizontal="center" vertical="center"/>
    </xf>
    <xf numFmtId="0" fontId="2" fillId="7" borderId="15" xfId="6" applyBorder="1" applyAlignment="1">
      <alignment horizontal="center" vertical="center"/>
    </xf>
    <xf numFmtId="0" fontId="2" fillId="7" borderId="16" xfId="6" applyBorder="1" applyAlignment="1">
      <alignment horizontal="center" vertical="center"/>
    </xf>
    <xf numFmtId="0" fontId="2" fillId="7" borderId="1" xfId="6" applyBorder="1" applyAlignment="1">
      <alignment horizontal="center" vertical="center"/>
    </xf>
    <xf numFmtId="0" fontId="2" fillId="7" borderId="1" xfId="6" applyBorder="1" applyAlignment="1">
      <alignment horizontal="center" vertical="center" wrapText="1"/>
    </xf>
    <xf numFmtId="0" fontId="17" fillId="38" borderId="2" xfId="6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center" vertical="center"/>
    </xf>
    <xf numFmtId="0" fontId="23" fillId="36" borderId="15" xfId="0" applyFont="1" applyFill="1" applyBorder="1" applyAlignment="1">
      <alignment horizontal="center" vertical="center"/>
    </xf>
    <xf numFmtId="0" fontId="2" fillId="7" borderId="18" xfId="6" applyBorder="1" applyAlignment="1">
      <alignment horizontal="center" vertical="center"/>
    </xf>
    <xf numFmtId="0" fontId="23" fillId="36" borderId="16" xfId="0" applyFont="1" applyFill="1" applyBorder="1" applyAlignment="1">
      <alignment horizontal="center" vertical="center"/>
    </xf>
    <xf numFmtId="0" fontId="17" fillId="38" borderId="1" xfId="6" applyFont="1" applyFill="1" applyBorder="1" applyAlignment="1">
      <alignment horizontal="center" vertical="center"/>
    </xf>
    <xf numFmtId="0" fontId="2" fillId="7" borderId="2" xfId="6" applyBorder="1" applyAlignment="1">
      <alignment horizontal="left" vertical="center"/>
    </xf>
    <xf numFmtId="0" fontId="2" fillId="7" borderId="1" xfId="6" applyBorder="1" applyAlignment="1">
      <alignment horizontal="left" vertical="center"/>
    </xf>
    <xf numFmtId="0" fontId="23" fillId="36" borderId="17" xfId="0" applyFont="1" applyFill="1" applyBorder="1" applyAlignment="1">
      <alignment horizontal="center" vertical="center"/>
    </xf>
    <xf numFmtId="0" fontId="23" fillId="36" borderId="2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center" vertical="center"/>
    </xf>
    <xf numFmtId="0" fontId="17" fillId="38" borderId="2" xfId="6" applyFont="1" applyFill="1" applyBorder="1" applyAlignment="1">
      <alignment horizontal="left" vertical="center"/>
    </xf>
    <xf numFmtId="0" fontId="24" fillId="7" borderId="2" xfId="45" applyFill="1" applyBorder="1" applyAlignment="1">
      <alignment horizontal="left" vertical="center"/>
    </xf>
    <xf numFmtId="0" fontId="2" fillId="7" borderId="2" xfId="6" applyBorder="1" applyAlignment="1">
      <alignment horizontal="left" vertical="center" wrapText="1"/>
    </xf>
    <xf numFmtId="0" fontId="17" fillId="38" borderId="1" xfId="6" applyFont="1" applyFill="1" applyBorder="1" applyAlignment="1">
      <alignment horizontal="left" vertical="center"/>
    </xf>
    <xf numFmtId="0" fontId="24" fillId="36" borderId="2" xfId="45" applyFill="1" applyBorder="1" applyAlignment="1">
      <alignment horizontal="left" vertical="center"/>
    </xf>
    <xf numFmtId="0" fontId="24" fillId="7" borderId="1" xfId="45" applyFill="1" applyBorder="1" applyAlignment="1">
      <alignment horizontal="left" vertical="center"/>
    </xf>
    <xf numFmtId="0" fontId="2" fillId="36" borderId="2" xfId="6" applyFill="1" applyBorder="1" applyAlignment="1">
      <alignment horizontal="center" vertical="center"/>
    </xf>
    <xf numFmtId="0" fontId="21" fillId="37" borderId="1" xfId="0" applyFont="1" applyFill="1" applyBorder="1" applyAlignment="1">
      <alignment horizontal="left" vertical="center"/>
    </xf>
    <xf numFmtId="0" fontId="23" fillId="36" borderId="1" xfId="0" applyFont="1" applyFill="1" applyBorder="1" applyAlignment="1">
      <alignment horizontal="left" vertical="center"/>
    </xf>
    <xf numFmtId="0" fontId="0" fillId="7" borderId="2" xfId="6" applyFont="1" applyBorder="1" applyAlignment="1">
      <alignment horizontal="center" vertical="center"/>
    </xf>
    <xf numFmtId="0" fontId="21" fillId="39" borderId="17" xfId="0" applyFont="1" applyFill="1" applyBorder="1" applyAlignment="1">
      <alignment horizontal="center" vertical="center"/>
    </xf>
    <xf numFmtId="0" fontId="24" fillId="7" borderId="1" xfId="45" applyFill="1" applyBorder="1" applyAlignment="1">
      <alignment horizontal="center" vertical="center"/>
    </xf>
    <xf numFmtId="0" fontId="24" fillId="36" borderId="1" xfId="45" applyFill="1" applyBorder="1" applyAlignment="1">
      <alignment horizontal="left" vertical="center"/>
    </xf>
    <xf numFmtId="0" fontId="2" fillId="7" borderId="0" xfId="6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0" borderId="0" xfId="6" applyFill="1" applyBorder="1" applyAlignment="1">
      <alignment horizontal="center" vertical="center"/>
    </xf>
    <xf numFmtId="0" fontId="2" fillId="40" borderId="0" xfId="6" applyFill="1" applyBorder="1" applyAlignment="1">
      <alignment horizontal="left" vertical="center"/>
    </xf>
    <xf numFmtId="0" fontId="2" fillId="40" borderId="15" xfId="6" applyFill="1" applyBorder="1" applyAlignment="1">
      <alignment horizontal="center" vertical="center"/>
    </xf>
    <xf numFmtId="0" fontId="26" fillId="0" borderId="0" xfId="0" applyFont="1"/>
    <xf numFmtId="0" fontId="27" fillId="41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" fillId="0" borderId="1" xfId="6" applyFill="1" applyBorder="1" applyAlignment="1">
      <alignment horizontal="center" vertical="center"/>
    </xf>
    <xf numFmtId="0" fontId="2" fillId="0" borderId="1" xfId="6" applyFill="1" applyBorder="1" applyAlignment="1">
      <alignment horizontal="center" vertical="center" wrapText="1"/>
    </xf>
    <xf numFmtId="0" fontId="0" fillId="0" borderId="1" xfId="0" applyBorder="1"/>
    <xf numFmtId="0" fontId="27" fillId="41" borderId="19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" fillId="0" borderId="19" xfId="6" applyFill="1" applyBorder="1" applyAlignment="1">
      <alignment horizontal="center" vertical="center"/>
    </xf>
    <xf numFmtId="0" fontId="2" fillId="0" borderId="15" xfId="6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 wrapText="1"/>
    </xf>
    <xf numFmtId="0" fontId="0" fillId="0" borderId="19" xfId="0" applyBorder="1"/>
    <xf numFmtId="0" fontId="2" fillId="0" borderId="2" xfId="6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2" fillId="36" borderId="1" xfId="6" applyFill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5" xfId="6" applyFont="1" applyFill="1" applyBorder="1" applyAlignment="1">
      <alignment horizontal="center" vertical="center"/>
    </xf>
    <xf numFmtId="0" fontId="0" fillId="0" borderId="2" xfId="6" applyFont="1" applyFill="1" applyBorder="1" applyAlignment="1">
      <alignment horizontal="center" vertical="center"/>
    </xf>
    <xf numFmtId="0" fontId="28" fillId="36" borderId="1" xfId="0" applyFont="1" applyFill="1" applyBorder="1" applyAlignment="1">
      <alignment horizontal="center" vertical="center"/>
    </xf>
    <xf numFmtId="0" fontId="0" fillId="36" borderId="19" xfId="0" applyFill="1" applyBorder="1" applyAlignment="1">
      <alignment horizontal="center"/>
    </xf>
    <xf numFmtId="0" fontId="25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22" fontId="30" fillId="33" borderId="0" xfId="0" applyNumberFormat="1" applyFont="1" applyFill="1" applyAlignment="1">
      <alignment horizontal="center" wrapText="1"/>
    </xf>
    <xf numFmtId="0" fontId="0" fillId="33" borderId="0" xfId="0" applyFill="1" applyAlignment="1">
      <alignment vertical="top" wrapText="1"/>
    </xf>
    <xf numFmtId="0" fontId="22" fillId="42" borderId="20" xfId="0" applyFont="1" applyFill="1" applyBorder="1" applyAlignment="1">
      <alignment horizontal="center" wrapText="1"/>
    </xf>
    <xf numFmtId="15" fontId="29" fillId="33" borderId="20" xfId="0" applyNumberFormat="1" applyFont="1" applyFill="1" applyBorder="1" applyAlignment="1">
      <alignment horizontal="center" wrapText="1"/>
    </xf>
    <xf numFmtId="0" fontId="0" fillId="33" borderId="20" xfId="0" applyFill="1" applyBorder="1" applyAlignment="1">
      <alignment vertical="top" wrapText="1"/>
    </xf>
    <xf numFmtId="0" fontId="29" fillId="33" borderId="20" xfId="0" applyFont="1" applyFill="1" applyBorder="1" applyAlignment="1">
      <alignment horizontal="center" vertical="top" wrapText="1"/>
    </xf>
    <xf numFmtId="0" fontId="29" fillId="33" borderId="20" xfId="0" applyFont="1" applyFill="1" applyBorder="1" applyAlignment="1">
      <alignment horizontal="center" wrapText="1"/>
    </xf>
    <xf numFmtId="0" fontId="29" fillId="33" borderId="20" xfId="0" applyFont="1" applyFill="1" applyBorder="1" applyAlignment="1">
      <alignment wrapText="1"/>
    </xf>
    <xf numFmtId="0" fontId="29" fillId="36" borderId="20" xfId="0" applyFont="1" applyFill="1" applyBorder="1" applyAlignment="1">
      <alignment horizontal="center" wrapText="1"/>
    </xf>
    <xf numFmtId="0" fontId="29" fillId="36" borderId="20" xfId="0" applyFont="1" applyFill="1" applyBorder="1" applyAlignment="1">
      <alignment wrapText="1"/>
    </xf>
    <xf numFmtId="15" fontId="29" fillId="36" borderId="20" xfId="0" applyNumberFormat="1" applyFont="1" applyFill="1" applyBorder="1" applyAlignment="1">
      <alignment horizontal="center" wrapText="1"/>
    </xf>
    <xf numFmtId="0" fontId="0" fillId="36" borderId="20" xfId="0" applyFill="1" applyBorder="1" applyAlignment="1">
      <alignment vertical="top" wrapText="1"/>
    </xf>
    <xf numFmtId="0" fontId="29" fillId="36" borderId="20" xfId="0" applyFont="1" applyFill="1" applyBorder="1" applyAlignment="1">
      <alignment horizontal="center" vertical="top" wrapText="1"/>
    </xf>
    <xf numFmtId="0" fontId="22" fillId="42" borderId="21" xfId="0" applyFont="1" applyFill="1" applyBorder="1" applyAlignment="1">
      <alignment horizontal="center" wrapText="1"/>
    </xf>
    <xf numFmtId="0" fontId="24" fillId="7" borderId="2" xfId="45" applyFill="1" applyBorder="1" applyAlignment="1">
      <alignment horizontal="center" vertical="center"/>
    </xf>
    <xf numFmtId="0" fontId="21" fillId="43" borderId="1" xfId="0" applyFont="1" applyFill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4" borderId="0" xfId="0" applyFill="1" applyAlignment="1">
      <alignment horizontal="center" vertical="center"/>
    </xf>
    <xf numFmtId="0" fontId="0" fillId="40" borderId="0" xfId="0" applyFill="1" applyAlignment="1">
      <alignment horizontal="center" vertical="center"/>
    </xf>
    <xf numFmtId="0" fontId="0" fillId="40" borderId="0" xfId="0" applyFill="1" applyAlignment="1">
      <alignment horizontal="center" vertical="center" wrapText="1"/>
    </xf>
    <xf numFmtId="0" fontId="2" fillId="7" borderId="15" xfId="6" applyBorder="1" applyAlignment="1">
      <alignment horizontal="left" vertical="center"/>
    </xf>
    <xf numFmtId="0" fontId="17" fillId="7" borderId="15" xfId="6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45" borderId="0" xfId="0" applyFill="1" applyAlignment="1">
      <alignment horizontal="center" vertical="center"/>
    </xf>
    <xf numFmtId="0" fontId="18" fillId="7" borderId="2" xfId="6" applyFont="1" applyBorder="1" applyAlignment="1">
      <alignment horizontal="center" vertical="center"/>
    </xf>
    <xf numFmtId="0" fontId="18" fillId="7" borderId="15" xfId="6" applyFont="1" applyBorder="1" applyAlignment="1">
      <alignment horizontal="left" vertical="center"/>
    </xf>
    <xf numFmtId="0" fontId="28" fillId="0" borderId="1" xfId="0" applyFont="1" applyBorder="1" applyAlignment="1">
      <alignment vertical="center" wrapText="1"/>
    </xf>
    <xf numFmtId="0" fontId="2" fillId="0" borderId="19" xfId="6" applyFill="1" applyBorder="1" applyAlignment="1">
      <alignment vertical="center"/>
    </xf>
    <xf numFmtId="0" fontId="0" fillId="40" borderId="0" xfId="6" applyFont="1" applyFill="1" applyAlignment="1">
      <alignment horizontal="center" vertical="center"/>
    </xf>
    <xf numFmtId="0" fontId="0" fillId="40" borderId="0" xfId="6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0" borderId="0" xfId="0" applyFill="1" applyAlignment="1">
      <alignment horizontal="left" vertical="center"/>
    </xf>
    <xf numFmtId="0" fontId="0" fillId="0" borderId="0" xfId="0" applyAlignment="1">
      <alignment wrapText="1"/>
    </xf>
    <xf numFmtId="0" fontId="0" fillId="40" borderId="0" xfId="6" applyFont="1" applyFill="1" applyAlignment="1">
      <alignment horizontal="left" vertical="center"/>
    </xf>
    <xf numFmtId="0" fontId="28" fillId="0" borderId="1" xfId="0" applyFont="1" applyBorder="1" applyAlignment="1">
      <alignment vertical="center"/>
    </xf>
    <xf numFmtId="0" fontId="31" fillId="36" borderId="1" xfId="0" applyFont="1" applyFill="1" applyBorder="1" applyAlignment="1">
      <alignment horizontal="center" vertical="center"/>
    </xf>
    <xf numFmtId="9" fontId="29" fillId="33" borderId="20" xfId="0" applyNumberFormat="1" applyFont="1" applyFill="1" applyBorder="1" applyAlignment="1">
      <alignment horizontal="center" wrapText="1"/>
    </xf>
    <xf numFmtId="0" fontId="0" fillId="33" borderId="20" xfId="0" applyFill="1" applyBorder="1" applyAlignment="1">
      <alignment wrapText="1"/>
    </xf>
    <xf numFmtId="15" fontId="29" fillId="33" borderId="20" xfId="0" applyNumberFormat="1" applyFont="1" applyFill="1" applyBorder="1" applyAlignment="1">
      <alignment horizontal="center" vertical="top" wrapText="1"/>
    </xf>
    <xf numFmtId="0" fontId="21" fillId="37" borderId="1" xfId="0" applyFont="1" applyFill="1" applyBorder="1" applyAlignment="1">
      <alignment vertical="center"/>
    </xf>
    <xf numFmtId="0" fontId="2" fillId="7" borderId="2" xfId="6" applyBorder="1" applyAlignment="1">
      <alignment vertical="center"/>
    </xf>
    <xf numFmtId="0" fontId="29" fillId="33" borderId="20" xfId="0" applyFont="1" applyFill="1" applyBorder="1" applyAlignment="1">
      <alignment horizontal="left" wrapText="1" indent="1"/>
    </xf>
    <xf numFmtId="15" fontId="30" fillId="33" borderId="0" xfId="0" applyNumberFormat="1" applyFont="1" applyFill="1" applyAlignment="1">
      <alignment horizontal="center" wrapText="1"/>
    </xf>
    <xf numFmtId="0" fontId="2" fillId="7" borderId="15" xfId="6" applyBorder="1" applyAlignment="1">
      <alignment vertical="center"/>
    </xf>
    <xf numFmtId="0" fontId="0" fillId="7" borderId="15" xfId="6" applyFont="1" applyBorder="1" applyAlignment="1">
      <alignment vertical="center"/>
    </xf>
    <xf numFmtId="0" fontId="18" fillId="7" borderId="15" xfId="6" applyFont="1" applyBorder="1" applyAlignment="1">
      <alignment vertical="center"/>
    </xf>
    <xf numFmtId="0" fontId="0" fillId="36" borderId="15" xfId="6" applyFont="1" applyFill="1" applyBorder="1" applyAlignment="1">
      <alignment vertical="center"/>
    </xf>
    <xf numFmtId="0" fontId="2" fillId="36" borderId="15" xfId="6" applyFill="1" applyBorder="1" applyAlignment="1">
      <alignment vertical="center"/>
    </xf>
    <xf numFmtId="0" fontId="17" fillId="7" borderId="1" xfId="6" applyFont="1" applyBorder="1" applyAlignment="1">
      <alignment horizontal="center" vertical="center"/>
    </xf>
    <xf numFmtId="0" fontId="2" fillId="7" borderId="23" xfId="6" applyBorder="1" applyAlignment="1">
      <alignment horizontal="center" vertical="center"/>
    </xf>
    <xf numFmtId="0" fontId="2" fillId="7" borderId="22" xfId="6" applyBorder="1" applyAlignment="1">
      <alignment horizontal="center" vertical="center"/>
    </xf>
    <xf numFmtId="0" fontId="2" fillId="7" borderId="22" xfId="6" applyBorder="1" applyAlignment="1">
      <alignment horizontal="left" vertical="center"/>
    </xf>
    <xf numFmtId="0" fontId="2" fillId="7" borderId="1" xfId="6" applyBorder="1" applyAlignment="1">
      <alignment vertical="center"/>
    </xf>
    <xf numFmtId="0" fontId="17" fillId="7" borderId="17" xfId="6" applyFont="1" applyBorder="1" applyAlignment="1">
      <alignment horizontal="center" vertical="center"/>
    </xf>
    <xf numFmtId="0" fontId="2" fillId="7" borderId="17" xfId="6" applyBorder="1" applyAlignment="1">
      <alignment horizontal="center" vertical="center"/>
    </xf>
    <xf numFmtId="0" fontId="18" fillId="7" borderId="1" xfId="6" applyFont="1" applyBorder="1" applyAlignment="1">
      <alignment vertical="center"/>
    </xf>
    <xf numFmtId="0" fontId="2" fillId="46" borderId="1" xfId="6" applyFill="1" applyBorder="1" applyAlignment="1">
      <alignment horizontal="center" vertical="center"/>
    </xf>
    <xf numFmtId="0" fontId="2" fillId="46" borderId="1" xfId="6" applyFill="1" applyBorder="1" applyAlignment="1">
      <alignment horizontal="left" vertical="center"/>
    </xf>
    <xf numFmtId="0" fontId="17" fillId="46" borderId="1" xfId="6" applyFont="1" applyFill="1" applyBorder="1" applyAlignment="1">
      <alignment horizontal="center" vertical="center"/>
    </xf>
    <xf numFmtId="0" fontId="2" fillId="46" borderId="1" xfId="6" applyFill="1" applyBorder="1" applyAlignment="1">
      <alignment vertical="center"/>
    </xf>
    <xf numFmtId="0" fontId="24" fillId="46" borderId="1" xfId="45" applyFill="1" applyBorder="1" applyAlignment="1">
      <alignment horizontal="center" vertical="center"/>
    </xf>
    <xf numFmtId="0" fontId="17" fillId="46" borderId="1" xfId="6" applyFont="1" applyFill="1" applyBorder="1" applyAlignment="1">
      <alignment horizontal="left" vertical="center"/>
    </xf>
    <xf numFmtId="0" fontId="2" fillId="46" borderId="2" xfId="6" applyFill="1" applyBorder="1" applyAlignment="1">
      <alignment horizontal="center" vertical="center"/>
    </xf>
    <xf numFmtId="0" fontId="2" fillId="46" borderId="15" xfId="6" applyFill="1" applyBorder="1" applyAlignment="1">
      <alignment horizontal="center" vertical="center"/>
    </xf>
    <xf numFmtId="0" fontId="2" fillId="46" borderId="15" xfId="6" applyFill="1" applyBorder="1" applyAlignment="1">
      <alignment horizontal="left" vertical="center"/>
    </xf>
    <xf numFmtId="0" fontId="0" fillId="7" borderId="1" xfId="6" applyFont="1" applyBorder="1" applyAlignment="1">
      <alignment vertical="center"/>
    </xf>
    <xf numFmtId="0" fontId="24" fillId="0" borderId="0" xfId="45"/>
    <xf numFmtId="0" fontId="32" fillId="0" borderId="0" xfId="0" applyFont="1" applyAlignment="1">
      <alignment vertical="center" wrapText="1"/>
    </xf>
    <xf numFmtId="0" fontId="21" fillId="37" borderId="19" xfId="0" applyFont="1" applyFill="1" applyBorder="1" applyAlignment="1">
      <alignment horizontal="center" vertical="center"/>
    </xf>
    <xf numFmtId="0" fontId="2" fillId="7" borderId="19" xfId="6" applyBorder="1" applyAlignment="1">
      <alignment horizontal="left" vertical="center"/>
    </xf>
    <xf numFmtId="0" fontId="2" fillId="46" borderId="19" xfId="6" applyFill="1" applyBorder="1" applyAlignment="1">
      <alignment horizontal="left" vertical="center"/>
    </xf>
    <xf numFmtId="0" fontId="18" fillId="46" borderId="1" xfId="6" applyFont="1" applyFill="1" applyBorder="1" applyAlignment="1">
      <alignment horizontal="center" vertical="center"/>
    </xf>
    <xf numFmtId="0" fontId="18" fillId="46" borderId="1" xfId="6" applyFont="1" applyFill="1" applyBorder="1" applyAlignment="1">
      <alignment vertical="center"/>
    </xf>
    <xf numFmtId="0" fontId="0" fillId="7" borderId="1" xfId="6" applyFont="1" applyBorder="1" applyAlignment="1">
      <alignment horizontal="center" vertical="center"/>
    </xf>
    <xf numFmtId="0" fontId="21" fillId="43" borderId="24" xfId="0" applyFont="1" applyFill="1" applyBorder="1" applyAlignment="1">
      <alignment horizontal="center" vertical="center"/>
    </xf>
    <xf numFmtId="0" fontId="21" fillId="43" borderId="25" xfId="0" applyFont="1" applyFill="1" applyBorder="1" applyAlignment="1">
      <alignment horizontal="center" vertical="center"/>
    </xf>
    <xf numFmtId="0" fontId="21" fillId="43" borderId="25" xfId="0" applyFont="1" applyFill="1" applyBorder="1" applyAlignment="1">
      <alignment vertical="center"/>
    </xf>
    <xf numFmtId="0" fontId="21" fillId="39" borderId="25" xfId="0" applyFont="1" applyFill="1" applyBorder="1" applyAlignment="1">
      <alignment horizontal="center" vertical="center"/>
    </xf>
    <xf numFmtId="0" fontId="21" fillId="37" borderId="25" xfId="0" applyFont="1" applyFill="1" applyBorder="1" applyAlignment="1">
      <alignment horizontal="center" vertical="center"/>
    </xf>
    <xf numFmtId="0" fontId="21" fillId="37" borderId="25" xfId="0" applyFont="1" applyFill="1" applyBorder="1" applyAlignment="1">
      <alignment vertical="center"/>
    </xf>
    <xf numFmtId="0" fontId="21" fillId="37" borderId="26" xfId="0" applyFont="1" applyFill="1" applyBorder="1" applyAlignment="1">
      <alignment horizontal="center" vertical="center"/>
    </xf>
    <xf numFmtId="0" fontId="2" fillId="7" borderId="27" xfId="6" applyBorder="1" applyAlignment="1">
      <alignment horizontal="center" vertical="center"/>
    </xf>
    <xf numFmtId="0" fontId="2" fillId="7" borderId="28" xfId="6" applyBorder="1" applyAlignment="1">
      <alignment horizontal="center" vertical="center"/>
    </xf>
    <xf numFmtId="0" fontId="2" fillId="7" borderId="29" xfId="6" applyBorder="1" applyAlignment="1">
      <alignment horizontal="center" vertical="center"/>
    </xf>
    <xf numFmtId="0" fontId="17" fillId="7" borderId="30" xfId="6" applyFont="1" applyBorder="1" applyAlignment="1">
      <alignment horizontal="center" vertical="center"/>
    </xf>
    <xf numFmtId="0" fontId="2" fillId="7" borderId="30" xfId="6" applyBorder="1" applyAlignment="1">
      <alignment vertical="center"/>
    </xf>
    <xf numFmtId="0" fontId="2" fillId="7" borderId="30" xfId="6" applyBorder="1" applyAlignment="1">
      <alignment horizontal="center" vertical="center"/>
    </xf>
    <xf numFmtId="0" fontId="24" fillId="7" borderId="30" xfId="45" applyFill="1" applyBorder="1" applyAlignment="1">
      <alignment horizontal="center" vertical="center"/>
    </xf>
    <xf numFmtId="0" fontId="17" fillId="38" borderId="30" xfId="6" applyFont="1" applyFill="1" applyBorder="1" applyAlignment="1">
      <alignment horizontal="left" vertical="center"/>
    </xf>
    <xf numFmtId="0" fontId="2" fillId="7" borderId="30" xfId="6" applyBorder="1" applyAlignment="1">
      <alignment horizontal="left" vertical="center"/>
    </xf>
    <xf numFmtId="0" fontId="24" fillId="7" borderId="30" xfId="45" applyFill="1" applyBorder="1" applyAlignment="1">
      <alignment horizontal="left" vertical="center"/>
    </xf>
    <xf numFmtId="0" fontId="2" fillId="7" borderId="31" xfId="6" applyBorder="1" applyAlignment="1">
      <alignment horizontal="center" vertical="center"/>
    </xf>
    <xf numFmtId="0" fontId="2" fillId="7" borderId="32" xfId="6" applyBorder="1" applyAlignment="1">
      <alignment horizontal="center" vertical="center"/>
    </xf>
    <xf numFmtId="0" fontId="2" fillId="7" borderId="17" xfId="6" applyBorder="1" applyAlignment="1">
      <alignment vertical="center"/>
    </xf>
    <xf numFmtId="0" fontId="24" fillId="7" borderId="17" xfId="45" applyFill="1" applyBorder="1" applyAlignment="1">
      <alignment horizontal="center" vertical="center"/>
    </xf>
    <xf numFmtId="0" fontId="17" fillId="38" borderId="17" xfId="6" applyFont="1" applyFill="1" applyBorder="1" applyAlignment="1">
      <alignment horizontal="left" vertical="center"/>
    </xf>
    <xf numFmtId="0" fontId="2" fillId="7" borderId="17" xfId="6" applyBorder="1" applyAlignment="1">
      <alignment horizontal="left" vertical="center"/>
    </xf>
    <xf numFmtId="0" fontId="24" fillId="7" borderId="17" xfId="45" applyFill="1" applyBorder="1" applyAlignment="1">
      <alignment horizontal="left" vertical="center"/>
    </xf>
    <xf numFmtId="0" fontId="2" fillId="7" borderId="33" xfId="6" applyBorder="1" applyAlignment="1">
      <alignment horizontal="center" vertical="center"/>
    </xf>
    <xf numFmtId="0" fontId="2" fillId="7" borderId="24" xfId="6" applyBorder="1" applyAlignment="1">
      <alignment horizontal="center" vertical="center"/>
    </xf>
    <xf numFmtId="0" fontId="17" fillId="7" borderId="25" xfId="6" applyFont="1" applyBorder="1" applyAlignment="1">
      <alignment horizontal="center" vertical="center"/>
    </xf>
    <xf numFmtId="0" fontId="18" fillId="7" borderId="25" xfId="6" applyFont="1" applyBorder="1" applyAlignment="1">
      <alignment vertical="center"/>
    </xf>
    <xf numFmtId="0" fontId="2" fillId="7" borderId="25" xfId="6" applyBorder="1" applyAlignment="1">
      <alignment horizontal="center" vertical="center"/>
    </xf>
    <xf numFmtId="0" fontId="24" fillId="7" borderId="25" xfId="45" applyFill="1" applyBorder="1" applyAlignment="1">
      <alignment horizontal="center" vertical="center"/>
    </xf>
    <xf numFmtId="0" fontId="17" fillId="38" borderId="25" xfId="6" applyFont="1" applyFill="1" applyBorder="1" applyAlignment="1">
      <alignment horizontal="left" vertical="center"/>
    </xf>
    <xf numFmtId="0" fontId="2" fillId="7" borderId="25" xfId="6" applyBorder="1" applyAlignment="1">
      <alignment horizontal="left" vertical="center"/>
    </xf>
    <xf numFmtId="0" fontId="24" fillId="7" borderId="25" xfId="45" applyFill="1" applyBorder="1" applyAlignment="1">
      <alignment horizontal="left" vertical="center"/>
    </xf>
    <xf numFmtId="0" fontId="2" fillId="7" borderId="25" xfId="6" applyBorder="1" applyAlignment="1">
      <alignment vertical="center"/>
    </xf>
    <xf numFmtId="0" fontId="2" fillId="7" borderId="26" xfId="6" applyBorder="1" applyAlignment="1">
      <alignment horizontal="center" vertical="center"/>
    </xf>
    <xf numFmtId="0" fontId="2" fillId="46" borderId="27" xfId="6" applyFill="1" applyBorder="1" applyAlignment="1">
      <alignment horizontal="center" vertical="center"/>
    </xf>
    <xf numFmtId="0" fontId="2" fillId="46" borderId="28" xfId="6" applyFill="1" applyBorder="1" applyAlignment="1">
      <alignment horizontal="center" vertical="center"/>
    </xf>
    <xf numFmtId="0" fontId="17" fillId="38" borderId="25" xfId="6" applyFont="1" applyFill="1" applyBorder="1" applyAlignment="1">
      <alignment horizontal="center" vertical="center"/>
    </xf>
    <xf numFmtId="0" fontId="17" fillId="38" borderId="30" xfId="6" applyFont="1" applyFill="1" applyBorder="1" applyAlignment="1">
      <alignment horizontal="center" vertical="center"/>
    </xf>
    <xf numFmtId="0" fontId="17" fillId="38" borderId="17" xfId="6" applyFont="1" applyFill="1" applyBorder="1" applyAlignment="1">
      <alignment horizontal="center" vertical="center"/>
    </xf>
    <xf numFmtId="0" fontId="0" fillId="7" borderId="1" xfId="6" applyFont="1" applyBorder="1" applyAlignment="1">
      <alignment horizontal="left" vertical="center"/>
    </xf>
    <xf numFmtId="0" fontId="0" fillId="7" borderId="24" xfId="6" applyFont="1" applyBorder="1" applyAlignment="1">
      <alignment horizontal="center" vertical="center"/>
    </xf>
    <xf numFmtId="0" fontId="0" fillId="7" borderId="25" xfId="6" applyFont="1" applyBorder="1" applyAlignment="1">
      <alignment vertical="center"/>
    </xf>
    <xf numFmtId="0" fontId="0" fillId="7" borderId="25" xfId="6" applyFont="1" applyBorder="1" applyAlignment="1">
      <alignment horizontal="center" vertical="center"/>
    </xf>
    <xf numFmtId="0" fontId="0" fillId="7" borderId="25" xfId="6" applyFont="1" applyBorder="1" applyAlignment="1">
      <alignment horizontal="left" vertical="center"/>
    </xf>
    <xf numFmtId="0" fontId="0" fillId="7" borderId="26" xfId="6" applyFont="1" applyBorder="1" applyAlignment="1">
      <alignment horizontal="center" vertical="center"/>
    </xf>
    <xf numFmtId="0" fontId="0" fillId="7" borderId="27" xfId="6" applyFont="1" applyBorder="1" applyAlignment="1">
      <alignment horizontal="center" vertical="center"/>
    </xf>
    <xf numFmtId="0" fontId="0" fillId="7" borderId="28" xfId="6" applyFont="1" applyBorder="1" applyAlignment="1">
      <alignment horizontal="center" vertical="center"/>
    </xf>
    <xf numFmtId="0" fontId="2" fillId="46" borderId="32" xfId="6" applyFill="1" applyBorder="1" applyAlignment="1">
      <alignment horizontal="center" vertical="center"/>
    </xf>
    <xf numFmtId="0" fontId="17" fillId="46" borderId="17" xfId="6" applyFont="1" applyFill="1" applyBorder="1" applyAlignment="1">
      <alignment horizontal="center" vertical="center"/>
    </xf>
    <xf numFmtId="0" fontId="2" fillId="46" borderId="17" xfId="6" applyFill="1" applyBorder="1" applyAlignment="1">
      <alignment vertical="center"/>
    </xf>
    <xf numFmtId="0" fontId="2" fillId="46" borderId="17" xfId="6" applyFill="1" applyBorder="1" applyAlignment="1">
      <alignment horizontal="center" vertical="center"/>
    </xf>
    <xf numFmtId="0" fontId="24" fillId="46" borderId="17" xfId="45" applyFill="1" applyBorder="1" applyAlignment="1">
      <alignment horizontal="center" vertical="center"/>
    </xf>
    <xf numFmtId="0" fontId="17" fillId="46" borderId="17" xfId="6" applyFont="1" applyFill="1" applyBorder="1" applyAlignment="1">
      <alignment horizontal="left" vertical="center"/>
    </xf>
    <xf numFmtId="0" fontId="2" fillId="46" borderId="17" xfId="6" applyFill="1" applyBorder="1" applyAlignment="1">
      <alignment horizontal="left" vertical="center"/>
    </xf>
    <xf numFmtId="0" fontId="2" fillId="46" borderId="33" xfId="6" applyFill="1" applyBorder="1" applyAlignment="1">
      <alignment horizontal="center" vertical="center"/>
    </xf>
    <xf numFmtId="0" fontId="0" fillId="46" borderId="27" xfId="6" applyFont="1" applyFill="1" applyBorder="1" applyAlignment="1">
      <alignment horizontal="center" vertical="center"/>
    </xf>
    <xf numFmtId="0" fontId="0" fillId="46" borderId="28" xfId="6" applyFont="1" applyFill="1" applyBorder="1" applyAlignment="1">
      <alignment horizontal="center" vertical="center"/>
    </xf>
    <xf numFmtId="0" fontId="0" fillId="7" borderId="30" xfId="6" applyFont="1" applyBorder="1" applyAlignment="1">
      <alignment vertical="center"/>
    </xf>
    <xf numFmtId="0" fontId="17" fillId="46" borderId="1" xfId="6" applyFont="1" applyFill="1" applyBorder="1" applyAlignment="1">
      <alignment vertical="center"/>
    </xf>
    <xf numFmtId="0" fontId="17" fillId="46" borderId="17" xfId="6" applyFont="1" applyFill="1" applyBorder="1" applyAlignment="1">
      <alignment vertical="center"/>
    </xf>
    <xf numFmtId="0" fontId="17" fillId="38" borderId="34" xfId="6" applyFont="1" applyFill="1" applyBorder="1" applyAlignment="1">
      <alignment horizontal="left" vertical="center"/>
    </xf>
    <xf numFmtId="0" fontId="17" fillId="38" borderId="18" xfId="6" applyFont="1" applyFill="1" applyBorder="1" applyAlignment="1">
      <alignment horizontal="left" vertical="center"/>
    </xf>
    <xf numFmtId="0" fontId="24" fillId="38" borderId="34" xfId="45" applyFill="1" applyBorder="1" applyAlignment="1">
      <alignment horizontal="left" vertical="center"/>
    </xf>
    <xf numFmtId="0" fontId="30" fillId="33" borderId="0" xfId="0" applyFont="1" applyFill="1" applyAlignment="1">
      <alignment vertical="top" wrapText="1"/>
    </xf>
    <xf numFmtId="0" fontId="0" fillId="33" borderId="0" xfId="0" applyFill="1" applyAlignment="1">
      <alignment wrapText="1"/>
    </xf>
    <xf numFmtId="0" fontId="0" fillId="33" borderId="0" xfId="0" applyFill="1" applyAlignment="1">
      <alignment vertical="top" wrapText="1"/>
    </xf>
    <xf numFmtId="0" fontId="30" fillId="33" borderId="0" xfId="0" applyFont="1" applyFill="1" applyAlignment="1">
      <alignment wrapText="1"/>
    </xf>
    <xf numFmtId="0" fontId="30" fillId="33" borderId="0" xfId="0" applyFont="1" applyFill="1" applyAlignment="1">
      <alignment horizontal="center" wrapText="1"/>
    </xf>
    <xf numFmtId="0" fontId="2" fillId="7" borderId="0" xfId="6" applyBorder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45" builtinId="8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37" xr:uid="{00000000-0005-0000-0000-000025000000}"/>
    <cellStyle name="Normal 3" xfId="38" xr:uid="{00000000-0005-0000-0000-000026000000}"/>
    <cellStyle name="Normal 4" xfId="39" xr:uid="{00000000-0005-0000-0000-000027000000}"/>
    <cellStyle name="Note" xfId="40" builtinId="10" customBuiltin="1"/>
    <cellStyle name="Output" xfId="41" builtinId="21" customBuiltin="1"/>
    <cellStyle name="Title 2" xfId="42" xr:uid="{00000000-0005-0000-0000-00002A000000}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D64D43B6-8C29-43A8-BF50-130EE66A7239}" type="doc">
      <dgm:prSet loTypeId="urn:microsoft.com/office/officeart/2005/8/layout/orgChart1" loCatId="hierarchy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EA6B4145-288E-4145-97BF-ECA50CDAA0CB}">
      <dgm:prSet phldrT="[Text]" custT="1"/>
      <dgm:spPr/>
      <dgm:t>
        <a:bodyPr/>
        <a:lstStyle/>
        <a:p>
          <a:r>
            <a:rPr lang="en-US" sz="800" b="0" i="0" u="none"/>
            <a:t>Strategic Affairs</a:t>
          </a:r>
          <a:endParaRPr lang="en-US" sz="800"/>
        </a:p>
      </dgm:t>
    </dgm:pt>
    <dgm:pt modelId="{95438A28-C2C3-4C45-A3AC-2AAECCF5DBEE}" type="parTrans" cxnId="{CA7A1D9A-22A1-4949-9589-E5ACF85352C0}">
      <dgm:prSet/>
      <dgm:spPr/>
      <dgm:t>
        <a:bodyPr/>
        <a:lstStyle/>
        <a:p>
          <a:endParaRPr lang="en-US" sz="1800"/>
        </a:p>
      </dgm:t>
    </dgm:pt>
    <dgm:pt modelId="{789FB204-84B7-497D-921F-F4F5D4648F00}" type="sibTrans" cxnId="{CA7A1D9A-22A1-4949-9589-E5ACF85352C0}">
      <dgm:prSet/>
      <dgm:spPr/>
      <dgm:t>
        <a:bodyPr/>
        <a:lstStyle/>
        <a:p>
          <a:endParaRPr lang="en-US"/>
        </a:p>
      </dgm:t>
    </dgm:pt>
    <dgm:pt modelId="{9454DE0B-A7C5-41F1-90C2-FC8050D84371}">
      <dgm:prSet phldrT="[Text]" custT="1"/>
      <dgm:spPr/>
      <dgm:t>
        <a:bodyPr/>
        <a:lstStyle/>
        <a:p>
          <a:r>
            <a:rPr lang="en-US" sz="800"/>
            <a:t>Tourism</a:t>
          </a:r>
        </a:p>
      </dgm:t>
    </dgm:pt>
    <dgm:pt modelId="{EEFFD529-C1B6-4B2A-B471-1F64A9CB67FE}" type="parTrans" cxnId="{26F093C9-862A-4FB1-90BB-270F5CEDF257}">
      <dgm:prSet/>
      <dgm:spPr/>
      <dgm:t>
        <a:bodyPr/>
        <a:lstStyle/>
        <a:p>
          <a:endParaRPr lang="en-US" sz="1800"/>
        </a:p>
      </dgm:t>
    </dgm:pt>
    <dgm:pt modelId="{D0BB9913-539D-42D6-9256-E27A39BFD17B}" type="sibTrans" cxnId="{26F093C9-862A-4FB1-90BB-270F5CEDF257}">
      <dgm:prSet/>
      <dgm:spPr/>
      <dgm:t>
        <a:bodyPr/>
        <a:lstStyle/>
        <a:p>
          <a:endParaRPr lang="en-US"/>
        </a:p>
      </dgm:t>
    </dgm:pt>
    <dgm:pt modelId="{275D2755-AFB3-4EAF-8667-190ED3554305}">
      <dgm:prSet phldrT="[Text]" custT="1"/>
      <dgm:spPr/>
      <dgm:t>
        <a:bodyPr/>
        <a:lstStyle/>
        <a:p>
          <a:r>
            <a:rPr lang="en-US" sz="2400"/>
            <a:t>DCT</a:t>
          </a:r>
        </a:p>
      </dgm:t>
    </dgm:pt>
    <dgm:pt modelId="{81548D92-4546-485E-83EA-A35B1DE29A19}" type="parTrans" cxnId="{19CFCE8E-B461-4F29-B114-09F5F0F19AB7}">
      <dgm:prSet/>
      <dgm:spPr/>
      <dgm:t>
        <a:bodyPr/>
        <a:lstStyle/>
        <a:p>
          <a:endParaRPr lang="en-US"/>
        </a:p>
      </dgm:t>
    </dgm:pt>
    <dgm:pt modelId="{3763879B-402D-4A67-9524-5431F8460919}" type="sibTrans" cxnId="{19CFCE8E-B461-4F29-B114-09F5F0F19AB7}">
      <dgm:prSet/>
      <dgm:spPr/>
      <dgm:t>
        <a:bodyPr/>
        <a:lstStyle/>
        <a:p>
          <a:endParaRPr lang="en-US"/>
        </a:p>
      </dgm:t>
    </dgm:pt>
    <dgm:pt modelId="{1333AFEE-8F07-4513-80B1-F79895614607}">
      <dgm:prSet phldrT="[Text]" custT="1"/>
      <dgm:spPr/>
      <dgm:t>
        <a:bodyPr/>
        <a:lstStyle/>
        <a:p>
          <a:r>
            <a:rPr lang="en-US" sz="800" b="0" i="0" u="none"/>
            <a:t>Office of the Strategic Affairs Executive Director</a:t>
          </a:r>
          <a:endParaRPr lang="en-US" sz="800"/>
        </a:p>
      </dgm:t>
    </dgm:pt>
    <dgm:pt modelId="{7195F95C-9F1A-4631-B3E7-F054555DB33B}" type="parTrans" cxnId="{C947CDA1-CADA-4D64-9DD7-CDE5EC4F73E4}">
      <dgm:prSet/>
      <dgm:spPr/>
      <dgm:t>
        <a:bodyPr/>
        <a:lstStyle/>
        <a:p>
          <a:endParaRPr lang="en-US" sz="1800"/>
        </a:p>
      </dgm:t>
    </dgm:pt>
    <dgm:pt modelId="{308DB39C-F97B-4F3B-8D25-2BE8C45CDCA2}" type="sibTrans" cxnId="{C947CDA1-CADA-4D64-9DD7-CDE5EC4F73E4}">
      <dgm:prSet/>
      <dgm:spPr/>
      <dgm:t>
        <a:bodyPr/>
        <a:lstStyle/>
        <a:p>
          <a:endParaRPr lang="en-US"/>
        </a:p>
      </dgm:t>
    </dgm:pt>
    <dgm:pt modelId="{0AE6CD57-0813-477F-9485-806A271EDABB}">
      <dgm:prSet custT="1"/>
      <dgm:spPr/>
      <dgm:t>
        <a:bodyPr/>
        <a:lstStyle/>
        <a:p>
          <a:r>
            <a:rPr lang="en-US" sz="800" b="0" i="0" u="none"/>
            <a:t>Strategy Planning</a:t>
          </a:r>
          <a:endParaRPr lang="en-US" sz="800"/>
        </a:p>
      </dgm:t>
    </dgm:pt>
    <dgm:pt modelId="{5B59FCF7-8AC3-48B4-99A1-C8D477FA2DFD}" type="parTrans" cxnId="{AE0E25A7-7FA2-4413-A8CC-90ECA0C2826D}">
      <dgm:prSet/>
      <dgm:spPr/>
      <dgm:t>
        <a:bodyPr/>
        <a:lstStyle/>
        <a:p>
          <a:endParaRPr lang="en-US" sz="1800"/>
        </a:p>
      </dgm:t>
    </dgm:pt>
    <dgm:pt modelId="{F71F85DB-1CDF-4148-AA17-F9E331729A51}" type="sibTrans" cxnId="{AE0E25A7-7FA2-4413-A8CC-90ECA0C2826D}">
      <dgm:prSet/>
      <dgm:spPr/>
      <dgm:t>
        <a:bodyPr/>
        <a:lstStyle/>
        <a:p>
          <a:endParaRPr lang="en-US"/>
        </a:p>
      </dgm:t>
    </dgm:pt>
    <dgm:pt modelId="{EF107CA2-3A5C-402C-A19E-EFE41EA76F2B}">
      <dgm:prSet custT="1"/>
      <dgm:spPr/>
      <dgm:t>
        <a:bodyPr/>
        <a:lstStyle/>
        <a:p>
          <a:r>
            <a:rPr lang="en-US" sz="800" b="0" i="0" u="none"/>
            <a:t>Business Intelligence</a:t>
          </a:r>
          <a:endParaRPr lang="en-US" sz="800"/>
        </a:p>
      </dgm:t>
    </dgm:pt>
    <dgm:pt modelId="{B652299D-9161-4CD2-94AD-3C5DAB3A75B7}" type="parTrans" cxnId="{63FFAAB6-23ED-4BAD-A36F-3D7EF949D1FA}">
      <dgm:prSet/>
      <dgm:spPr/>
      <dgm:t>
        <a:bodyPr/>
        <a:lstStyle/>
        <a:p>
          <a:endParaRPr lang="en-US" sz="1800"/>
        </a:p>
      </dgm:t>
    </dgm:pt>
    <dgm:pt modelId="{71F04159-234F-48AD-94A3-F85E6375B2DD}" type="sibTrans" cxnId="{63FFAAB6-23ED-4BAD-A36F-3D7EF949D1FA}">
      <dgm:prSet/>
      <dgm:spPr/>
      <dgm:t>
        <a:bodyPr/>
        <a:lstStyle/>
        <a:p>
          <a:endParaRPr lang="en-US"/>
        </a:p>
      </dgm:t>
    </dgm:pt>
    <dgm:pt modelId="{C05619D9-6300-4AEB-A3DF-DD2FC4D38813}">
      <dgm:prSet custT="1"/>
      <dgm:spPr/>
      <dgm:t>
        <a:bodyPr/>
        <a:lstStyle/>
        <a:p>
          <a:r>
            <a:rPr lang="en-US" sz="800" b="0" i="0" u="none"/>
            <a:t>Business Excellence and Continuity</a:t>
          </a:r>
          <a:endParaRPr lang="en-US" sz="800"/>
        </a:p>
      </dgm:t>
    </dgm:pt>
    <dgm:pt modelId="{1596B05F-6527-44DB-9F75-6AAACAE5C8D2}" type="parTrans" cxnId="{350AEE54-A54D-4547-9AF8-32F6AB3EFBA7}">
      <dgm:prSet/>
      <dgm:spPr/>
      <dgm:t>
        <a:bodyPr/>
        <a:lstStyle/>
        <a:p>
          <a:endParaRPr lang="en-US" sz="1800"/>
        </a:p>
      </dgm:t>
    </dgm:pt>
    <dgm:pt modelId="{1990F0D4-24AC-4755-AD0E-6A0A83D89C60}" type="sibTrans" cxnId="{350AEE54-A54D-4547-9AF8-32F6AB3EFBA7}">
      <dgm:prSet/>
      <dgm:spPr/>
      <dgm:t>
        <a:bodyPr/>
        <a:lstStyle/>
        <a:p>
          <a:endParaRPr lang="en-US"/>
        </a:p>
      </dgm:t>
    </dgm:pt>
    <dgm:pt modelId="{CD98EBD2-7A6B-43F3-A890-4BDE47432228}">
      <dgm:prSet phldrT="[Text]" custT="1"/>
      <dgm:spPr/>
      <dgm:t>
        <a:bodyPr/>
        <a:lstStyle/>
        <a:p>
          <a:r>
            <a:rPr lang="en-US" sz="800" b="0" i="0" u="none"/>
            <a:t>Licensing &amp; Regulatory Compliance Department</a:t>
          </a:r>
          <a:endParaRPr lang="en-US" sz="800"/>
        </a:p>
      </dgm:t>
    </dgm:pt>
    <dgm:pt modelId="{45C1B045-005C-4311-A1C3-7B90F72B1EE4}" type="parTrans" cxnId="{8C73F41E-AE62-41C7-8475-489F1F714D54}">
      <dgm:prSet/>
      <dgm:spPr/>
      <dgm:t>
        <a:bodyPr/>
        <a:lstStyle/>
        <a:p>
          <a:endParaRPr lang="en-US" sz="1800"/>
        </a:p>
      </dgm:t>
    </dgm:pt>
    <dgm:pt modelId="{DACC4909-D044-4B4C-AD8F-C5D215320DAD}" type="sibTrans" cxnId="{8C73F41E-AE62-41C7-8475-489F1F714D54}">
      <dgm:prSet/>
      <dgm:spPr/>
      <dgm:t>
        <a:bodyPr/>
        <a:lstStyle/>
        <a:p>
          <a:endParaRPr lang="en-US"/>
        </a:p>
      </dgm:t>
    </dgm:pt>
    <dgm:pt modelId="{BC7114A3-932D-4BDE-B728-89EA46112B9C}">
      <dgm:prSet custT="1"/>
      <dgm:spPr/>
      <dgm:t>
        <a:bodyPr/>
        <a:lstStyle/>
        <a:p>
          <a:r>
            <a:rPr lang="en-US" sz="800" b="0" i="0" u="none"/>
            <a:t>Visitors Experience Department</a:t>
          </a:r>
          <a:endParaRPr lang="en-US" sz="800"/>
        </a:p>
      </dgm:t>
    </dgm:pt>
    <dgm:pt modelId="{0405E95F-4415-4F7D-BFA7-D69636D5531E}" type="parTrans" cxnId="{475694DF-8921-45FC-982D-F5284FDF243D}">
      <dgm:prSet/>
      <dgm:spPr/>
      <dgm:t>
        <a:bodyPr/>
        <a:lstStyle/>
        <a:p>
          <a:endParaRPr lang="en-US" sz="1800"/>
        </a:p>
      </dgm:t>
    </dgm:pt>
    <dgm:pt modelId="{22D9E88E-E3C4-452C-B776-7C9D27E6E885}" type="sibTrans" cxnId="{475694DF-8921-45FC-982D-F5284FDF243D}">
      <dgm:prSet/>
      <dgm:spPr/>
      <dgm:t>
        <a:bodyPr/>
        <a:lstStyle/>
        <a:p>
          <a:endParaRPr lang="en-US"/>
        </a:p>
      </dgm:t>
    </dgm:pt>
    <dgm:pt modelId="{70EFCBE2-B6CC-494A-9B0E-17001C7A5B1C}">
      <dgm:prSet custT="1"/>
      <dgm:spPr/>
      <dgm:t>
        <a:bodyPr/>
        <a:lstStyle/>
        <a:p>
          <a:r>
            <a:rPr lang="en-US" sz="800" b="0" i="0" u="none"/>
            <a:t>Abu Dhabi Conventions &amp; Exhibition Bureau Department</a:t>
          </a:r>
          <a:endParaRPr lang="en-US" sz="800"/>
        </a:p>
      </dgm:t>
    </dgm:pt>
    <dgm:pt modelId="{EDC20C76-D971-40A3-A574-7E96B8258720}" type="parTrans" cxnId="{D1ED48FB-A3A8-44E2-BBC7-08AEC49FFD30}">
      <dgm:prSet/>
      <dgm:spPr/>
      <dgm:t>
        <a:bodyPr/>
        <a:lstStyle/>
        <a:p>
          <a:endParaRPr lang="en-US" sz="1800"/>
        </a:p>
      </dgm:t>
    </dgm:pt>
    <dgm:pt modelId="{FBB7BA64-6EB1-47D8-9036-BF23A014F28D}" type="sibTrans" cxnId="{D1ED48FB-A3A8-44E2-BBC7-08AEC49FFD30}">
      <dgm:prSet/>
      <dgm:spPr/>
      <dgm:t>
        <a:bodyPr/>
        <a:lstStyle/>
        <a:p>
          <a:endParaRPr lang="en-US"/>
        </a:p>
      </dgm:t>
    </dgm:pt>
    <dgm:pt modelId="{357B889E-B387-412B-B9B6-9F32476C3C10}">
      <dgm:prSet custT="1"/>
      <dgm:spPr/>
      <dgm:t>
        <a:bodyPr/>
        <a:lstStyle/>
        <a:p>
          <a:r>
            <a:rPr lang="en-US" sz="800" b="0" i="0" u="none"/>
            <a:t>Abu Dhabi Events Bureau Department</a:t>
          </a:r>
          <a:endParaRPr lang="en-US" sz="800"/>
        </a:p>
      </dgm:t>
    </dgm:pt>
    <dgm:pt modelId="{E2C47C2A-298B-479F-84DF-89741E9A6263}" type="parTrans" cxnId="{737E7D39-1C32-4109-814B-EF130E49975C}">
      <dgm:prSet/>
      <dgm:spPr/>
      <dgm:t>
        <a:bodyPr/>
        <a:lstStyle/>
        <a:p>
          <a:endParaRPr lang="en-US" sz="1800"/>
        </a:p>
      </dgm:t>
    </dgm:pt>
    <dgm:pt modelId="{31562F8E-E0D9-468E-83A3-BB712B4C37A4}" type="sibTrans" cxnId="{737E7D39-1C32-4109-814B-EF130E49975C}">
      <dgm:prSet/>
      <dgm:spPr/>
      <dgm:t>
        <a:bodyPr/>
        <a:lstStyle/>
        <a:p>
          <a:endParaRPr lang="en-US"/>
        </a:p>
      </dgm:t>
    </dgm:pt>
    <dgm:pt modelId="{3F1C9013-A47E-4C84-86BE-7D14F351C903}">
      <dgm:prSet custT="1"/>
      <dgm:spPr/>
      <dgm:t>
        <a:bodyPr/>
        <a:lstStyle/>
        <a:p>
          <a:r>
            <a:rPr lang="en-US" sz="800" b="0" i="0" u="none"/>
            <a:t>Al Ain &amp; Al Dhafra Regional Development</a:t>
          </a:r>
          <a:endParaRPr lang="en-US" sz="800"/>
        </a:p>
      </dgm:t>
    </dgm:pt>
    <dgm:pt modelId="{2C276487-DA0E-499B-8323-01B5D816B11D}" type="parTrans" cxnId="{A53781F3-CDEF-4A11-9A74-7BF9B427E9DD}">
      <dgm:prSet/>
      <dgm:spPr/>
      <dgm:t>
        <a:bodyPr/>
        <a:lstStyle/>
        <a:p>
          <a:endParaRPr lang="en-US" sz="1800"/>
        </a:p>
      </dgm:t>
    </dgm:pt>
    <dgm:pt modelId="{33D375CC-2DAC-4AE6-A620-EBBF42AA8725}" type="sibTrans" cxnId="{A53781F3-CDEF-4A11-9A74-7BF9B427E9DD}">
      <dgm:prSet/>
      <dgm:spPr/>
      <dgm:t>
        <a:bodyPr/>
        <a:lstStyle/>
        <a:p>
          <a:endParaRPr lang="en-US"/>
        </a:p>
      </dgm:t>
    </dgm:pt>
    <dgm:pt modelId="{5943CE6D-CD85-4821-BC57-C1A6AB08FDBD}">
      <dgm:prSet custT="1"/>
      <dgm:spPr/>
      <dgm:t>
        <a:bodyPr/>
        <a:lstStyle/>
        <a:p>
          <a:r>
            <a:rPr lang="en-US" sz="800" b="0" i="0" u="none"/>
            <a:t>Tourism Sector Management Office</a:t>
          </a:r>
          <a:endParaRPr lang="en-US" sz="800"/>
        </a:p>
      </dgm:t>
    </dgm:pt>
    <dgm:pt modelId="{21298782-BB51-4405-9598-C6E7C43E13CA}" type="parTrans" cxnId="{45BB51FF-C080-4632-B6CF-FFF54AC28D30}">
      <dgm:prSet/>
      <dgm:spPr/>
      <dgm:t>
        <a:bodyPr/>
        <a:lstStyle/>
        <a:p>
          <a:endParaRPr lang="en-US" sz="1800"/>
        </a:p>
      </dgm:t>
    </dgm:pt>
    <dgm:pt modelId="{45875C50-7D78-4C2C-91A1-CD58AF380837}" type="sibTrans" cxnId="{45BB51FF-C080-4632-B6CF-FFF54AC28D30}">
      <dgm:prSet/>
      <dgm:spPr/>
      <dgm:t>
        <a:bodyPr/>
        <a:lstStyle/>
        <a:p>
          <a:endParaRPr lang="en-US"/>
        </a:p>
      </dgm:t>
    </dgm:pt>
    <dgm:pt modelId="{54123D53-2FB3-40DE-AC69-96B72C2B8728}">
      <dgm:prSet custT="1"/>
      <dgm:spPr/>
      <dgm:t>
        <a:bodyPr/>
        <a:lstStyle/>
        <a:p>
          <a:r>
            <a:rPr lang="en-US" sz="800" b="0" i="0" u="none"/>
            <a:t>International Operations Department</a:t>
          </a:r>
          <a:endParaRPr lang="en-US" sz="800"/>
        </a:p>
      </dgm:t>
    </dgm:pt>
    <dgm:pt modelId="{AB81E4AA-045D-4273-BB8A-DD5BFEBE7830}" type="parTrans" cxnId="{271E6673-CC7D-4A9C-8A62-ABA905480301}">
      <dgm:prSet/>
      <dgm:spPr/>
      <dgm:t>
        <a:bodyPr/>
        <a:lstStyle/>
        <a:p>
          <a:endParaRPr lang="en-US" sz="1800"/>
        </a:p>
      </dgm:t>
    </dgm:pt>
    <dgm:pt modelId="{D0614698-596A-4428-B771-9ADD3371655A}" type="sibTrans" cxnId="{271E6673-CC7D-4A9C-8A62-ABA905480301}">
      <dgm:prSet/>
      <dgm:spPr/>
      <dgm:t>
        <a:bodyPr/>
        <a:lstStyle/>
        <a:p>
          <a:endParaRPr lang="en-US"/>
        </a:p>
      </dgm:t>
    </dgm:pt>
    <dgm:pt modelId="{24CA127F-E639-4697-9789-909A3EC0A016}">
      <dgm:prSet custT="1"/>
      <dgm:spPr/>
      <dgm:t>
        <a:bodyPr/>
        <a:lstStyle/>
        <a:p>
          <a:r>
            <a:rPr lang="en-US" sz="800" b="0" i="0" u="none"/>
            <a:t>DCT - Support Services (Central) Dept</a:t>
          </a:r>
          <a:endParaRPr lang="en-US" sz="800"/>
        </a:p>
      </dgm:t>
    </dgm:pt>
    <dgm:pt modelId="{0BDF942D-E688-4B7D-9580-0F8BB034B844}" type="parTrans" cxnId="{41591155-FAD1-4010-BA73-BDA26319F0A1}">
      <dgm:prSet/>
      <dgm:spPr/>
      <dgm:t>
        <a:bodyPr/>
        <a:lstStyle/>
        <a:p>
          <a:endParaRPr lang="en-US" sz="1800"/>
        </a:p>
      </dgm:t>
    </dgm:pt>
    <dgm:pt modelId="{BDC7E15E-246D-4A5C-B30B-B8828824C61E}" type="sibTrans" cxnId="{41591155-FAD1-4010-BA73-BDA26319F0A1}">
      <dgm:prSet/>
      <dgm:spPr/>
      <dgm:t>
        <a:bodyPr/>
        <a:lstStyle/>
        <a:p>
          <a:endParaRPr lang="en-US"/>
        </a:p>
      </dgm:t>
    </dgm:pt>
    <dgm:pt modelId="{3C90CE6A-EAA0-42F1-BD1F-32CAD2C3D805}">
      <dgm:prSet custT="1"/>
      <dgm:spPr/>
      <dgm:t>
        <a:bodyPr/>
        <a:lstStyle/>
        <a:p>
          <a:r>
            <a:rPr lang="en-US" sz="800" b="0" i="0" u="none"/>
            <a:t>Support Services</a:t>
          </a:r>
          <a:endParaRPr lang="en-US" sz="800"/>
        </a:p>
      </dgm:t>
    </dgm:pt>
    <dgm:pt modelId="{70C2D0E9-0F56-44EE-8BF0-0652B6A9A4AA}" type="parTrans" cxnId="{A376767E-ABDF-4F45-8AD2-CC1364DD73FD}">
      <dgm:prSet/>
      <dgm:spPr/>
      <dgm:t>
        <a:bodyPr/>
        <a:lstStyle/>
        <a:p>
          <a:endParaRPr lang="en-US" sz="1800"/>
        </a:p>
      </dgm:t>
    </dgm:pt>
    <dgm:pt modelId="{51B052CD-16A2-4BC2-B7F3-CC13FA23F975}" type="sibTrans" cxnId="{A376767E-ABDF-4F45-8AD2-CC1364DD73FD}">
      <dgm:prSet/>
      <dgm:spPr/>
      <dgm:t>
        <a:bodyPr/>
        <a:lstStyle/>
        <a:p>
          <a:endParaRPr lang="en-US"/>
        </a:p>
      </dgm:t>
    </dgm:pt>
    <dgm:pt modelId="{E90E1F7E-0211-4419-B014-E3217A0086DA}">
      <dgm:prSet custT="1"/>
      <dgm:spPr/>
      <dgm:t>
        <a:bodyPr/>
        <a:lstStyle/>
        <a:p>
          <a:r>
            <a:rPr lang="en-US" sz="800" b="0" i="0" u="none"/>
            <a:t>DCT - Finance Dept</a:t>
          </a:r>
          <a:endParaRPr lang="en-US" sz="800"/>
        </a:p>
      </dgm:t>
    </dgm:pt>
    <dgm:pt modelId="{5632572D-FDE6-4B7E-A473-B78B26126874}" type="parTrans" cxnId="{A739412B-FC05-4F28-B013-369AF13B3BEF}">
      <dgm:prSet/>
      <dgm:spPr/>
      <dgm:t>
        <a:bodyPr/>
        <a:lstStyle/>
        <a:p>
          <a:endParaRPr lang="en-US" sz="1800"/>
        </a:p>
      </dgm:t>
    </dgm:pt>
    <dgm:pt modelId="{A39B5D69-7FB6-47D1-A85B-044097BE9C78}" type="sibTrans" cxnId="{A739412B-FC05-4F28-B013-369AF13B3BEF}">
      <dgm:prSet/>
      <dgm:spPr/>
      <dgm:t>
        <a:bodyPr/>
        <a:lstStyle/>
        <a:p>
          <a:endParaRPr lang="en-US"/>
        </a:p>
      </dgm:t>
    </dgm:pt>
    <dgm:pt modelId="{B050F782-46FB-4CAC-BB0B-28D2F65F57F7}">
      <dgm:prSet custT="1"/>
      <dgm:spPr/>
      <dgm:t>
        <a:bodyPr/>
        <a:lstStyle/>
        <a:p>
          <a:r>
            <a:rPr lang="en-US" sz="800" b="0" i="0" u="none"/>
            <a:t>DCT - People &amp; Performance Dept</a:t>
          </a:r>
          <a:endParaRPr lang="en-US" sz="800"/>
        </a:p>
      </dgm:t>
    </dgm:pt>
    <dgm:pt modelId="{97137293-0181-4017-A1F2-CD8625F30649}" type="parTrans" cxnId="{963A1269-FADF-491C-89F2-A83A16262EC2}">
      <dgm:prSet/>
      <dgm:spPr/>
      <dgm:t>
        <a:bodyPr/>
        <a:lstStyle/>
        <a:p>
          <a:endParaRPr lang="en-US" sz="1800"/>
        </a:p>
      </dgm:t>
    </dgm:pt>
    <dgm:pt modelId="{9CCDC4A1-3016-482E-8FDF-CB23CD9F8120}" type="sibTrans" cxnId="{963A1269-FADF-491C-89F2-A83A16262EC2}">
      <dgm:prSet/>
      <dgm:spPr/>
      <dgm:t>
        <a:bodyPr/>
        <a:lstStyle/>
        <a:p>
          <a:endParaRPr lang="en-US"/>
        </a:p>
      </dgm:t>
    </dgm:pt>
    <dgm:pt modelId="{E385FCE3-D751-42E7-9C0C-45CD14FC660C}">
      <dgm:prSet custT="1"/>
      <dgm:spPr/>
      <dgm:t>
        <a:bodyPr/>
        <a:lstStyle/>
        <a:p>
          <a:r>
            <a:rPr lang="en-US" sz="800" b="0" i="0" u="none"/>
            <a:t>DCT - Facility &amp; General Services Management</a:t>
          </a:r>
          <a:endParaRPr lang="en-US" sz="800"/>
        </a:p>
      </dgm:t>
    </dgm:pt>
    <dgm:pt modelId="{E9E04D74-221C-4089-A5F8-CCD69214090A}" type="parTrans" cxnId="{892BDA48-7E7C-43C2-AF35-41D8B1496F35}">
      <dgm:prSet/>
      <dgm:spPr/>
      <dgm:t>
        <a:bodyPr/>
        <a:lstStyle/>
        <a:p>
          <a:endParaRPr lang="en-US" sz="1800"/>
        </a:p>
      </dgm:t>
    </dgm:pt>
    <dgm:pt modelId="{59100BE3-4766-4BEE-ABD6-7AB26B0720CC}" type="sibTrans" cxnId="{892BDA48-7E7C-43C2-AF35-41D8B1496F35}">
      <dgm:prSet/>
      <dgm:spPr/>
      <dgm:t>
        <a:bodyPr/>
        <a:lstStyle/>
        <a:p>
          <a:endParaRPr lang="en-US"/>
        </a:p>
      </dgm:t>
    </dgm:pt>
    <dgm:pt modelId="{05D3175E-C612-4C2C-87A7-FD661EAEEFBD}">
      <dgm:prSet custT="1"/>
      <dgm:spPr/>
      <dgm:t>
        <a:bodyPr/>
        <a:lstStyle/>
        <a:p>
          <a:r>
            <a:rPr lang="en-US" sz="800" b="0" i="0" u="none"/>
            <a:t>DCT - Supply Management Dept</a:t>
          </a:r>
          <a:endParaRPr lang="en-US" sz="800"/>
        </a:p>
      </dgm:t>
    </dgm:pt>
    <dgm:pt modelId="{87410729-49F0-4D1D-99C5-4BAE5B976E83}" type="parTrans" cxnId="{3F2E0694-9EFC-48A7-82B7-25FF6D8540E8}">
      <dgm:prSet/>
      <dgm:spPr/>
      <dgm:t>
        <a:bodyPr/>
        <a:lstStyle/>
        <a:p>
          <a:endParaRPr lang="en-US" sz="1800"/>
        </a:p>
      </dgm:t>
    </dgm:pt>
    <dgm:pt modelId="{22D4EECD-0FCC-4489-815D-9CB0D64A93E3}" type="sibTrans" cxnId="{3F2E0694-9EFC-48A7-82B7-25FF6D8540E8}">
      <dgm:prSet/>
      <dgm:spPr/>
      <dgm:t>
        <a:bodyPr/>
        <a:lstStyle/>
        <a:p>
          <a:endParaRPr lang="en-US"/>
        </a:p>
      </dgm:t>
    </dgm:pt>
    <dgm:pt modelId="{03B85A45-7F73-44C4-A930-28A63A0D4C0E}">
      <dgm:prSet custT="1"/>
      <dgm:spPr/>
      <dgm:t>
        <a:bodyPr/>
        <a:lstStyle/>
        <a:p>
          <a:r>
            <a:rPr lang="en-US" sz="800" b="0" i="0" u="none"/>
            <a:t>DCT - Smart Systems &amp; GovernmentServices Dept</a:t>
          </a:r>
          <a:endParaRPr lang="en-US" sz="800"/>
        </a:p>
      </dgm:t>
    </dgm:pt>
    <dgm:pt modelId="{A8D649BC-5CF0-440B-AE03-66AC5654DD26}" type="parTrans" cxnId="{1AD682F1-CBA2-409C-9B1E-DB970CFAED92}">
      <dgm:prSet/>
      <dgm:spPr/>
      <dgm:t>
        <a:bodyPr/>
        <a:lstStyle/>
        <a:p>
          <a:endParaRPr lang="en-US" sz="1800"/>
        </a:p>
      </dgm:t>
    </dgm:pt>
    <dgm:pt modelId="{FE880C4B-6E12-4C5C-BAD1-735E3D7FDA17}" type="sibTrans" cxnId="{1AD682F1-CBA2-409C-9B1E-DB970CFAED92}">
      <dgm:prSet/>
      <dgm:spPr/>
      <dgm:t>
        <a:bodyPr/>
        <a:lstStyle/>
        <a:p>
          <a:endParaRPr lang="en-US"/>
        </a:p>
      </dgm:t>
    </dgm:pt>
    <dgm:pt modelId="{4DE72DAF-80C3-4709-A42C-6C425DBAAC67}">
      <dgm:prSet custT="1"/>
      <dgm:spPr/>
      <dgm:t>
        <a:bodyPr/>
        <a:lstStyle/>
        <a:p>
          <a:r>
            <a:rPr lang="en-US" sz="800"/>
            <a:t>Culture</a:t>
          </a:r>
        </a:p>
      </dgm:t>
    </dgm:pt>
    <dgm:pt modelId="{D0B5DA6D-70A5-4419-8510-8461AE3E4072}" type="parTrans" cxnId="{7B557BA0-48A3-4B37-848D-E7510E73F697}">
      <dgm:prSet/>
      <dgm:spPr/>
      <dgm:t>
        <a:bodyPr/>
        <a:lstStyle/>
        <a:p>
          <a:endParaRPr lang="en-US" sz="1600"/>
        </a:p>
      </dgm:t>
    </dgm:pt>
    <dgm:pt modelId="{A813D762-E81B-4401-9167-32D47174E752}" type="sibTrans" cxnId="{7B557BA0-48A3-4B37-848D-E7510E73F697}">
      <dgm:prSet/>
      <dgm:spPr/>
      <dgm:t>
        <a:bodyPr/>
        <a:lstStyle/>
        <a:p>
          <a:endParaRPr lang="en-US"/>
        </a:p>
      </dgm:t>
    </dgm:pt>
    <dgm:pt modelId="{8BAE89AD-628C-4BFF-8CB0-258B7A89EE17}">
      <dgm:prSet custT="1"/>
      <dgm:spPr/>
      <dgm:t>
        <a:bodyPr/>
        <a:lstStyle/>
        <a:p>
          <a:r>
            <a:rPr lang="en-US" sz="800" b="0" i="0" u="none"/>
            <a:t>Historical Environment Dept</a:t>
          </a:r>
          <a:endParaRPr lang="en-US" sz="800"/>
        </a:p>
      </dgm:t>
    </dgm:pt>
    <dgm:pt modelId="{B4CF74BE-58CF-4B68-8976-50DD5BFD8066}" type="parTrans" cxnId="{B2577E31-EB0D-4F04-B825-A225BF98A43D}">
      <dgm:prSet/>
      <dgm:spPr/>
      <dgm:t>
        <a:bodyPr/>
        <a:lstStyle/>
        <a:p>
          <a:endParaRPr lang="en-US" sz="1600"/>
        </a:p>
      </dgm:t>
    </dgm:pt>
    <dgm:pt modelId="{2ED062E8-6835-4B31-8646-2928C833A277}" type="sibTrans" cxnId="{B2577E31-EB0D-4F04-B825-A225BF98A43D}">
      <dgm:prSet/>
      <dgm:spPr/>
      <dgm:t>
        <a:bodyPr/>
        <a:lstStyle/>
        <a:p>
          <a:endParaRPr lang="en-US"/>
        </a:p>
      </dgm:t>
    </dgm:pt>
    <dgm:pt modelId="{532F6F70-B5D5-4CA5-9FDD-E58A52A4ED94}">
      <dgm:prSet custT="1"/>
      <dgm:spPr/>
      <dgm:t>
        <a:bodyPr/>
        <a:lstStyle/>
        <a:p>
          <a:r>
            <a:rPr lang="en-US" sz="800" b="0" i="0" u="none"/>
            <a:t>Intangible Heritage Dept</a:t>
          </a:r>
          <a:endParaRPr lang="en-US" sz="800"/>
        </a:p>
      </dgm:t>
    </dgm:pt>
    <dgm:pt modelId="{B7890E23-7954-4CC0-921D-5A9456194D61}" type="parTrans" cxnId="{67503ACC-85F2-4CDE-BA5C-24B8AF775330}">
      <dgm:prSet/>
      <dgm:spPr/>
      <dgm:t>
        <a:bodyPr/>
        <a:lstStyle/>
        <a:p>
          <a:endParaRPr lang="en-US" sz="1600"/>
        </a:p>
      </dgm:t>
    </dgm:pt>
    <dgm:pt modelId="{418409F5-3E6D-4E9B-8BE9-555DEBEF95B7}" type="sibTrans" cxnId="{67503ACC-85F2-4CDE-BA5C-24B8AF775330}">
      <dgm:prSet/>
      <dgm:spPr/>
      <dgm:t>
        <a:bodyPr/>
        <a:lstStyle/>
        <a:p>
          <a:endParaRPr lang="en-US"/>
        </a:p>
      </dgm:t>
    </dgm:pt>
    <dgm:pt modelId="{69816883-D163-4F32-8354-1970793F6218}">
      <dgm:prSet custT="1"/>
      <dgm:spPr/>
      <dgm:t>
        <a:bodyPr/>
        <a:lstStyle/>
        <a:p>
          <a:r>
            <a:rPr lang="en-US" sz="800" b="0" i="0" u="none"/>
            <a:t>library</a:t>
          </a:r>
          <a:endParaRPr lang="en-US" sz="800"/>
        </a:p>
      </dgm:t>
    </dgm:pt>
    <dgm:pt modelId="{BE53619F-C74E-4ACF-9BD7-F70BA7355090}" type="parTrans" cxnId="{0FC739F6-958C-4880-9338-C273E51F39D5}">
      <dgm:prSet/>
      <dgm:spPr/>
      <dgm:t>
        <a:bodyPr/>
        <a:lstStyle/>
        <a:p>
          <a:endParaRPr lang="en-US" sz="1600"/>
        </a:p>
      </dgm:t>
    </dgm:pt>
    <dgm:pt modelId="{B7EB253C-742D-4DBF-837B-53551F0B0AEA}" type="sibTrans" cxnId="{0FC739F6-958C-4880-9338-C273E51F39D5}">
      <dgm:prSet/>
      <dgm:spPr/>
      <dgm:t>
        <a:bodyPr/>
        <a:lstStyle/>
        <a:p>
          <a:endParaRPr lang="en-US"/>
        </a:p>
      </dgm:t>
    </dgm:pt>
    <dgm:pt modelId="{E1C1A298-F580-4128-8F8D-F6DB65353385}">
      <dgm:prSet custT="1"/>
      <dgm:spPr/>
      <dgm:t>
        <a:bodyPr/>
        <a:lstStyle/>
        <a:p>
          <a:r>
            <a:rPr lang="en-US" sz="800" b="0" i="0" u="none"/>
            <a:t>Culture (Central) Dept</a:t>
          </a:r>
          <a:endParaRPr lang="en-US" sz="800"/>
        </a:p>
      </dgm:t>
    </dgm:pt>
    <dgm:pt modelId="{9DB08FEB-A983-4BE9-AEE1-704A1CBD2F85}" type="parTrans" cxnId="{35FCE572-8459-46E7-8F1C-11C2330FD022}">
      <dgm:prSet/>
      <dgm:spPr/>
      <dgm:t>
        <a:bodyPr/>
        <a:lstStyle/>
        <a:p>
          <a:endParaRPr lang="en-US" sz="1600"/>
        </a:p>
      </dgm:t>
    </dgm:pt>
    <dgm:pt modelId="{5FFA1833-7218-4DA2-AEFA-F60C9397FB90}" type="sibTrans" cxnId="{35FCE572-8459-46E7-8F1C-11C2330FD022}">
      <dgm:prSet/>
      <dgm:spPr/>
      <dgm:t>
        <a:bodyPr/>
        <a:lstStyle/>
        <a:p>
          <a:endParaRPr lang="en-US"/>
        </a:p>
      </dgm:t>
    </dgm:pt>
    <dgm:pt modelId="{65C6B914-A243-4B35-80F7-AB3DC5BD32AE}">
      <dgm:prSet custT="1"/>
      <dgm:spPr/>
      <dgm:t>
        <a:bodyPr/>
        <a:lstStyle/>
        <a:p>
          <a:r>
            <a:rPr lang="en-US" sz="800" b="0" i="0" u="none"/>
            <a:t>Abu Dhabi Public Art </a:t>
          </a:r>
          <a:endParaRPr lang="en-US" sz="800"/>
        </a:p>
      </dgm:t>
    </dgm:pt>
    <dgm:pt modelId="{B9AA4CFB-8704-4BBC-A7EA-49E7979AF7F0}" type="parTrans" cxnId="{94567A42-BDC0-4E1E-A5BC-272F55A65405}">
      <dgm:prSet/>
      <dgm:spPr/>
      <dgm:t>
        <a:bodyPr/>
        <a:lstStyle/>
        <a:p>
          <a:endParaRPr lang="en-US" sz="1600"/>
        </a:p>
      </dgm:t>
    </dgm:pt>
    <dgm:pt modelId="{28A7127B-9518-43BE-B162-280E6391E313}" type="sibTrans" cxnId="{94567A42-BDC0-4E1E-A5BC-272F55A65405}">
      <dgm:prSet/>
      <dgm:spPr/>
      <dgm:t>
        <a:bodyPr/>
        <a:lstStyle/>
        <a:p>
          <a:endParaRPr lang="en-US"/>
        </a:p>
      </dgm:t>
    </dgm:pt>
    <dgm:pt modelId="{52B70142-DAF9-4182-BD3F-E8AA75CC7DD6}">
      <dgm:prSet custT="1"/>
      <dgm:spPr/>
      <dgm:t>
        <a:bodyPr/>
        <a:lstStyle/>
        <a:p>
          <a:r>
            <a:rPr lang="en-US" sz="800" b="0" i="0" u="none"/>
            <a:t>Culture Planning &amp; Development Dept.</a:t>
          </a:r>
          <a:endParaRPr lang="en-US" sz="800"/>
        </a:p>
      </dgm:t>
    </dgm:pt>
    <dgm:pt modelId="{D339C85B-E073-4B73-A880-A2D114B2F3E4}" type="parTrans" cxnId="{40CEC0FB-82AA-464E-8FF6-43A2AC2FA3DE}">
      <dgm:prSet/>
      <dgm:spPr/>
      <dgm:t>
        <a:bodyPr/>
        <a:lstStyle/>
        <a:p>
          <a:endParaRPr lang="en-US" sz="1600"/>
        </a:p>
      </dgm:t>
    </dgm:pt>
    <dgm:pt modelId="{5DC183BB-7A2B-42B9-AAC6-30EEAD175361}" type="sibTrans" cxnId="{40CEC0FB-82AA-464E-8FF6-43A2AC2FA3DE}">
      <dgm:prSet/>
      <dgm:spPr/>
      <dgm:t>
        <a:bodyPr/>
        <a:lstStyle/>
        <a:p>
          <a:endParaRPr lang="en-US"/>
        </a:p>
      </dgm:t>
    </dgm:pt>
    <dgm:pt modelId="{34461B88-B9AA-486B-8BA5-9FB00807B6AA}">
      <dgm:prSet custT="1"/>
      <dgm:spPr/>
      <dgm:t>
        <a:bodyPr/>
        <a:lstStyle/>
        <a:p>
          <a:r>
            <a:rPr lang="en-US" sz="800" b="0" i="0" u="none"/>
            <a:t>Cultural Sites Dept</a:t>
          </a:r>
          <a:endParaRPr lang="en-US" sz="800"/>
        </a:p>
      </dgm:t>
    </dgm:pt>
    <dgm:pt modelId="{EFEFF577-A3FB-40B3-B0FF-500850030E40}" type="parTrans" cxnId="{1C34895B-0BA8-4736-B557-5B48B9854F67}">
      <dgm:prSet/>
      <dgm:spPr/>
      <dgm:t>
        <a:bodyPr/>
        <a:lstStyle/>
        <a:p>
          <a:endParaRPr lang="en-US" sz="1600"/>
        </a:p>
      </dgm:t>
    </dgm:pt>
    <dgm:pt modelId="{C0F1D9F3-7913-41E8-A993-ECD78C557FDF}" type="sibTrans" cxnId="{1C34895B-0BA8-4736-B557-5B48B9854F67}">
      <dgm:prSet/>
      <dgm:spPr/>
      <dgm:t>
        <a:bodyPr/>
        <a:lstStyle/>
        <a:p>
          <a:endParaRPr lang="en-US"/>
        </a:p>
      </dgm:t>
    </dgm:pt>
    <dgm:pt modelId="{7B99805D-3C39-4795-8216-F93BFFA2D459}">
      <dgm:prSet custT="1"/>
      <dgm:spPr/>
      <dgm:t>
        <a:bodyPr/>
        <a:lstStyle/>
        <a:p>
          <a:r>
            <a:rPr lang="en-US" sz="800" b="0" i="0" u="none"/>
            <a:t> Marketing &amp; Communication Dept.</a:t>
          </a:r>
          <a:endParaRPr lang="en-US" sz="800"/>
        </a:p>
      </dgm:t>
    </dgm:pt>
    <dgm:pt modelId="{AC8A3907-2691-43AB-A0C0-1FB7DE20810E}" type="parTrans" cxnId="{CFE6A41D-5BDE-4201-A506-A00BF588EAE5}">
      <dgm:prSet/>
      <dgm:spPr/>
      <dgm:t>
        <a:bodyPr/>
        <a:lstStyle/>
        <a:p>
          <a:endParaRPr lang="en-US" sz="1600"/>
        </a:p>
      </dgm:t>
    </dgm:pt>
    <dgm:pt modelId="{B79072AF-3B5E-467F-A949-674C6DF3EB48}" type="sibTrans" cxnId="{CFE6A41D-5BDE-4201-A506-A00BF588EAE5}">
      <dgm:prSet/>
      <dgm:spPr/>
      <dgm:t>
        <a:bodyPr/>
        <a:lstStyle/>
        <a:p>
          <a:endParaRPr lang="en-US"/>
        </a:p>
      </dgm:t>
    </dgm:pt>
    <dgm:pt modelId="{BD4FC882-A4DD-4A3A-9665-3BD280DB055E}">
      <dgm:prSet custT="1"/>
      <dgm:spPr/>
      <dgm:t>
        <a:bodyPr/>
        <a:lstStyle/>
        <a:p>
          <a:r>
            <a:rPr lang="en-US" sz="800" b="0" i="0" u="none"/>
            <a:t>Cultural Programs Dept</a:t>
          </a:r>
          <a:endParaRPr lang="en-US" sz="800"/>
        </a:p>
      </dgm:t>
    </dgm:pt>
    <dgm:pt modelId="{A636DEBE-C1CF-48B1-90FD-18EE95A1A620}" type="parTrans" cxnId="{DFE94213-A0E7-434C-BBD0-A14DF4510796}">
      <dgm:prSet/>
      <dgm:spPr/>
      <dgm:t>
        <a:bodyPr/>
        <a:lstStyle/>
        <a:p>
          <a:endParaRPr lang="en-US" sz="1600"/>
        </a:p>
      </dgm:t>
    </dgm:pt>
    <dgm:pt modelId="{C41EE588-1146-42EE-A9DA-99AF1C3C92FA}" type="sibTrans" cxnId="{DFE94213-A0E7-434C-BBD0-A14DF4510796}">
      <dgm:prSet/>
      <dgm:spPr/>
      <dgm:t>
        <a:bodyPr/>
        <a:lstStyle/>
        <a:p>
          <a:endParaRPr lang="en-US"/>
        </a:p>
      </dgm:t>
    </dgm:pt>
    <dgm:pt modelId="{B372C83E-4EF2-4CBB-AE7F-58A8CF607ED1}">
      <dgm:prSet custT="1"/>
      <dgm:spPr/>
      <dgm:t>
        <a:bodyPr/>
        <a:lstStyle/>
        <a:p>
          <a:r>
            <a:rPr lang="en-US" sz="800" b="0" i="0" u="none"/>
            <a:t>Culture Festivals &amp; Platforms Department</a:t>
          </a:r>
          <a:endParaRPr lang="en-US" sz="800"/>
        </a:p>
      </dgm:t>
    </dgm:pt>
    <dgm:pt modelId="{B2A021AF-973E-4C83-A065-13ABD3DDC23A}" type="parTrans" cxnId="{4A9A9ED9-D989-4849-B5CC-E48906A12011}">
      <dgm:prSet/>
      <dgm:spPr/>
      <dgm:t>
        <a:bodyPr/>
        <a:lstStyle/>
        <a:p>
          <a:endParaRPr lang="en-US" sz="1600"/>
        </a:p>
      </dgm:t>
    </dgm:pt>
    <dgm:pt modelId="{249421D0-8F05-4C7B-8826-8CE5723530F3}" type="sibTrans" cxnId="{4A9A9ED9-D989-4849-B5CC-E48906A12011}">
      <dgm:prSet/>
      <dgm:spPr/>
      <dgm:t>
        <a:bodyPr/>
        <a:lstStyle/>
        <a:p>
          <a:endParaRPr lang="en-US"/>
        </a:p>
      </dgm:t>
    </dgm:pt>
    <dgm:pt modelId="{CA292E85-6AA0-45C4-AC74-6D053DC13E13}">
      <dgm:prSet custT="1"/>
      <dgm:spPr/>
      <dgm:t>
        <a:bodyPr/>
        <a:lstStyle/>
        <a:p>
          <a:r>
            <a:rPr lang="en-US" sz="800" b="0" i="0" u="none"/>
            <a:t>Education &amp; Outreach</a:t>
          </a:r>
          <a:endParaRPr lang="en-US" sz="800"/>
        </a:p>
      </dgm:t>
    </dgm:pt>
    <dgm:pt modelId="{415B12C5-8D56-4353-9ED3-F382452B1ECF}" type="parTrans" cxnId="{39984B3B-FE7B-4D6A-BD10-FEABF5F9A223}">
      <dgm:prSet/>
      <dgm:spPr/>
      <dgm:t>
        <a:bodyPr/>
        <a:lstStyle/>
        <a:p>
          <a:endParaRPr lang="en-US" sz="1600"/>
        </a:p>
      </dgm:t>
    </dgm:pt>
    <dgm:pt modelId="{CFF28F3E-4DD1-4AE8-B607-7F695B8581D0}" type="sibTrans" cxnId="{39984B3B-FE7B-4D6A-BD10-FEABF5F9A223}">
      <dgm:prSet/>
      <dgm:spPr/>
      <dgm:t>
        <a:bodyPr/>
        <a:lstStyle/>
        <a:p>
          <a:endParaRPr lang="en-US"/>
        </a:p>
      </dgm:t>
    </dgm:pt>
    <dgm:pt modelId="{A5B97CCD-102C-4AC2-935D-F2DA83440559}">
      <dgm:prSet phldrT="[Text]" custT="1"/>
      <dgm:spPr/>
      <dgm:t>
        <a:bodyPr/>
        <a:lstStyle/>
        <a:p>
          <a:r>
            <a:rPr lang="en-US" sz="800"/>
            <a:t>ALC</a:t>
          </a:r>
        </a:p>
      </dgm:t>
    </dgm:pt>
    <dgm:pt modelId="{52B000EE-AC4C-4A1C-8B77-4220EBD5FEBE}" type="parTrans" cxnId="{D88229A5-4ED4-4562-BA8D-014D0F1CBA8C}">
      <dgm:prSet/>
      <dgm:spPr/>
      <dgm:t>
        <a:bodyPr/>
        <a:lstStyle/>
        <a:p>
          <a:endParaRPr lang="en-US" sz="1600"/>
        </a:p>
      </dgm:t>
    </dgm:pt>
    <dgm:pt modelId="{33C53331-C8AA-40C3-B0E7-314E25BCF967}" type="sibTrans" cxnId="{D88229A5-4ED4-4562-BA8D-014D0F1CBA8C}">
      <dgm:prSet/>
      <dgm:spPr/>
      <dgm:t>
        <a:bodyPr/>
        <a:lstStyle/>
        <a:p>
          <a:endParaRPr lang="en-US"/>
        </a:p>
      </dgm:t>
    </dgm:pt>
    <dgm:pt modelId="{B1A8C7F7-C756-460C-B7F1-CF96157A35A2}">
      <dgm:prSet phldrT="[Text]" custT="1"/>
      <dgm:spPr/>
      <dgm:t>
        <a:bodyPr/>
        <a:lstStyle/>
        <a:p>
          <a:r>
            <a:rPr lang="en-US" sz="800" b="0" i="0" u="none"/>
            <a:t>AD Gaming &amp; Digital </a:t>
          </a:r>
          <a:endParaRPr lang="en-US" sz="800"/>
        </a:p>
      </dgm:t>
    </dgm:pt>
    <dgm:pt modelId="{80D68777-2887-4BA5-942D-3CE334BB173A}" type="parTrans" cxnId="{F97BFB3A-5B4D-4450-955D-3D113D08D817}">
      <dgm:prSet/>
      <dgm:spPr/>
      <dgm:t>
        <a:bodyPr/>
        <a:lstStyle/>
        <a:p>
          <a:endParaRPr lang="en-US" sz="1600"/>
        </a:p>
      </dgm:t>
    </dgm:pt>
    <dgm:pt modelId="{266114A3-770B-42EB-8D9A-43E508052C41}" type="sibTrans" cxnId="{F97BFB3A-5B4D-4450-955D-3D113D08D817}">
      <dgm:prSet/>
      <dgm:spPr/>
      <dgm:t>
        <a:bodyPr/>
        <a:lstStyle/>
        <a:p>
          <a:endParaRPr lang="en-US"/>
        </a:p>
      </dgm:t>
    </dgm:pt>
    <dgm:pt modelId="{9029D069-AEC0-4FE2-B7DF-BF50F5A32E4A}">
      <dgm:prSet phldrT="[Text]" custT="1"/>
      <dgm:spPr/>
      <dgm:t>
        <a:bodyPr/>
        <a:lstStyle/>
        <a:p>
          <a:r>
            <a:rPr lang="en-US" sz="800" b="0" i="0" u="none"/>
            <a:t>Office of Undersecretary .</a:t>
          </a:r>
          <a:endParaRPr lang="en-US" sz="800"/>
        </a:p>
      </dgm:t>
    </dgm:pt>
    <dgm:pt modelId="{FDDCDF97-9FBF-469E-B440-70427588B6CF}" type="parTrans" cxnId="{F8AC86C2-5154-41F3-A2A2-B45FB0AB9C55}">
      <dgm:prSet/>
      <dgm:spPr/>
      <dgm:t>
        <a:bodyPr/>
        <a:lstStyle/>
        <a:p>
          <a:endParaRPr lang="en-US" sz="1600"/>
        </a:p>
      </dgm:t>
    </dgm:pt>
    <dgm:pt modelId="{F2F8DB97-CF86-43B4-8DBC-0FDE565EBE07}" type="sibTrans" cxnId="{F8AC86C2-5154-41F3-A2A2-B45FB0AB9C55}">
      <dgm:prSet/>
      <dgm:spPr/>
      <dgm:t>
        <a:bodyPr/>
        <a:lstStyle/>
        <a:p>
          <a:endParaRPr lang="en-US"/>
        </a:p>
      </dgm:t>
    </dgm:pt>
    <dgm:pt modelId="{7D6C9889-AD9A-432A-89E0-B3CD8A91B8D4}">
      <dgm:prSet phldrT="[Text]" custT="1"/>
      <dgm:spPr/>
      <dgm:t>
        <a:bodyPr/>
        <a:lstStyle/>
        <a:p>
          <a:r>
            <a:rPr lang="en-US" sz="800" b="0" i="0" u="none"/>
            <a:t>DCT - Executive Management Office</a:t>
          </a:r>
          <a:endParaRPr lang="en-US" sz="800"/>
        </a:p>
      </dgm:t>
    </dgm:pt>
    <dgm:pt modelId="{CC5B1996-EEC9-44F6-8498-4DEBE17FD699}" type="parTrans" cxnId="{DE3086B6-77B1-4457-AC6F-D4D4F3181F69}">
      <dgm:prSet/>
      <dgm:spPr/>
      <dgm:t>
        <a:bodyPr/>
        <a:lstStyle/>
        <a:p>
          <a:endParaRPr lang="en-US" sz="1600"/>
        </a:p>
      </dgm:t>
    </dgm:pt>
    <dgm:pt modelId="{95B9655F-3929-4BB7-BF26-40A59C13B6AB}" type="sibTrans" cxnId="{DE3086B6-77B1-4457-AC6F-D4D4F3181F69}">
      <dgm:prSet/>
      <dgm:spPr/>
      <dgm:t>
        <a:bodyPr/>
        <a:lstStyle/>
        <a:p>
          <a:endParaRPr lang="en-US"/>
        </a:p>
      </dgm:t>
    </dgm:pt>
    <dgm:pt modelId="{07404842-E69F-443D-91D0-EBFDCF3059FA}">
      <dgm:prSet custT="1"/>
      <dgm:spPr/>
      <dgm:t>
        <a:bodyPr/>
        <a:lstStyle/>
        <a:p>
          <a:r>
            <a:rPr lang="en-US" sz="800" b="0" i="0" u="none"/>
            <a:t>Internal Audit     </a:t>
          </a:r>
          <a:endParaRPr lang="en-US" sz="800"/>
        </a:p>
      </dgm:t>
    </dgm:pt>
    <dgm:pt modelId="{0C0BB843-341B-4077-AC60-7B7C5409D678}" type="parTrans" cxnId="{65532F16-5365-4490-BD20-357EE7C7D604}">
      <dgm:prSet/>
      <dgm:spPr/>
      <dgm:t>
        <a:bodyPr/>
        <a:lstStyle/>
        <a:p>
          <a:endParaRPr lang="en-US" sz="1600"/>
        </a:p>
      </dgm:t>
    </dgm:pt>
    <dgm:pt modelId="{9AF85D0D-99C6-4C7A-971F-34FD52931436}" type="sibTrans" cxnId="{65532F16-5365-4490-BD20-357EE7C7D604}">
      <dgm:prSet/>
      <dgm:spPr/>
      <dgm:t>
        <a:bodyPr/>
        <a:lstStyle/>
        <a:p>
          <a:endParaRPr lang="en-US"/>
        </a:p>
      </dgm:t>
    </dgm:pt>
    <dgm:pt modelId="{51ECB55E-BBAC-4471-9A54-5D98AF94C3A5}">
      <dgm:prSet custT="1"/>
      <dgm:spPr/>
      <dgm:t>
        <a:bodyPr/>
        <a:lstStyle/>
        <a:p>
          <a:r>
            <a:rPr lang="en-US" sz="800" b="0" i="0" u="none"/>
            <a:t>Project Management &amp; Engineering </a:t>
          </a:r>
          <a:endParaRPr lang="en-US" sz="800"/>
        </a:p>
      </dgm:t>
    </dgm:pt>
    <dgm:pt modelId="{7A0FBFB2-1789-439B-9715-8A2B5FE3DA43}" type="parTrans" cxnId="{0BE1DE8B-69C0-4840-9E97-431700D9615B}">
      <dgm:prSet/>
      <dgm:spPr/>
      <dgm:t>
        <a:bodyPr/>
        <a:lstStyle/>
        <a:p>
          <a:endParaRPr lang="en-US" sz="1600"/>
        </a:p>
      </dgm:t>
    </dgm:pt>
    <dgm:pt modelId="{7D9D3996-BD9D-4D8B-87D3-29D95E333E91}" type="sibTrans" cxnId="{0BE1DE8B-69C0-4840-9E97-431700D9615B}">
      <dgm:prSet/>
      <dgm:spPr/>
      <dgm:t>
        <a:bodyPr/>
        <a:lstStyle/>
        <a:p>
          <a:endParaRPr lang="en-US"/>
        </a:p>
      </dgm:t>
    </dgm:pt>
    <dgm:pt modelId="{3A7AA5EC-1864-4C2D-8494-C186D80E6A3E}">
      <dgm:prSet custT="1"/>
      <dgm:spPr/>
      <dgm:t>
        <a:bodyPr/>
        <a:lstStyle/>
        <a:p>
          <a:r>
            <a:rPr lang="en-US" sz="800" b="0" i="0" u="none"/>
            <a:t>Tendering &amp; Projects Control </a:t>
          </a:r>
          <a:endParaRPr lang="en-US" sz="800"/>
        </a:p>
      </dgm:t>
    </dgm:pt>
    <dgm:pt modelId="{AD81A9D5-FF26-4D26-8FA4-F990D901421C}" type="parTrans" cxnId="{212D9D31-C318-48BF-B6B9-9BCC61528AFF}">
      <dgm:prSet/>
      <dgm:spPr/>
      <dgm:t>
        <a:bodyPr/>
        <a:lstStyle/>
        <a:p>
          <a:endParaRPr lang="en-US" sz="1600"/>
        </a:p>
      </dgm:t>
    </dgm:pt>
    <dgm:pt modelId="{49D89456-F3CF-46FB-8AE8-AB86C3CAA12B}" type="sibTrans" cxnId="{212D9D31-C318-48BF-B6B9-9BCC61528AFF}">
      <dgm:prSet/>
      <dgm:spPr/>
      <dgm:t>
        <a:bodyPr/>
        <a:lstStyle/>
        <a:p>
          <a:endParaRPr lang="en-US"/>
        </a:p>
      </dgm:t>
    </dgm:pt>
    <dgm:pt modelId="{80F2FCC4-5405-447F-983E-B1588241E362}">
      <dgm:prSet custT="1"/>
      <dgm:spPr/>
      <dgm:t>
        <a:bodyPr/>
        <a:lstStyle/>
        <a:p>
          <a:r>
            <a:rPr lang="en-US" sz="800" b="0" i="0" u="none"/>
            <a:t>Legal &amp; Government Affairs  </a:t>
          </a:r>
          <a:endParaRPr lang="en-US" sz="800"/>
        </a:p>
      </dgm:t>
    </dgm:pt>
    <dgm:pt modelId="{3BE2D754-1E39-4B5B-B82F-D46771212CC1}" type="parTrans" cxnId="{2602A45A-7F30-42DE-992C-BFE8DDEC532E}">
      <dgm:prSet/>
      <dgm:spPr/>
      <dgm:t>
        <a:bodyPr/>
        <a:lstStyle/>
        <a:p>
          <a:endParaRPr lang="en-US" sz="1600"/>
        </a:p>
      </dgm:t>
    </dgm:pt>
    <dgm:pt modelId="{BB698137-0D00-47C5-ADE2-58D31B5D92F7}" type="sibTrans" cxnId="{2602A45A-7F30-42DE-992C-BFE8DDEC532E}">
      <dgm:prSet/>
      <dgm:spPr/>
      <dgm:t>
        <a:bodyPr/>
        <a:lstStyle/>
        <a:p>
          <a:endParaRPr lang="en-US"/>
        </a:p>
      </dgm:t>
    </dgm:pt>
    <dgm:pt modelId="{2DBA0C76-000E-4ADD-AF0E-27EB6538586D}">
      <dgm:prSet custT="1"/>
      <dgm:spPr/>
      <dgm:t>
        <a:bodyPr/>
        <a:lstStyle/>
        <a:p>
          <a:r>
            <a:rPr lang="en-US" sz="800"/>
            <a:t>MarCom</a:t>
          </a:r>
        </a:p>
      </dgm:t>
    </dgm:pt>
    <dgm:pt modelId="{FC5C48F2-A12C-4E04-A8C5-8569EC8848F8}" type="parTrans" cxnId="{4F3A6971-691A-4227-820E-AFA65B467643}">
      <dgm:prSet/>
      <dgm:spPr/>
      <dgm:t>
        <a:bodyPr/>
        <a:lstStyle/>
        <a:p>
          <a:endParaRPr lang="en-US" sz="1600"/>
        </a:p>
      </dgm:t>
    </dgm:pt>
    <dgm:pt modelId="{C52E1522-EDB3-4645-9E04-D68F60BCD9ED}" type="sibTrans" cxnId="{4F3A6971-691A-4227-820E-AFA65B467643}">
      <dgm:prSet/>
      <dgm:spPr/>
      <dgm:t>
        <a:bodyPr/>
        <a:lstStyle/>
        <a:p>
          <a:endParaRPr lang="en-US"/>
        </a:p>
      </dgm:t>
    </dgm:pt>
    <dgm:pt modelId="{79FFEF7E-305D-46EC-80C9-3CC765771624}">
      <dgm:prSet custT="1"/>
      <dgm:spPr/>
      <dgm:t>
        <a:bodyPr/>
        <a:lstStyle/>
        <a:p>
          <a:r>
            <a:rPr lang="en-US" sz="800" b="0" i="0" u="none"/>
            <a:t>Creative and Production Department</a:t>
          </a:r>
          <a:endParaRPr lang="en-US" sz="800"/>
        </a:p>
      </dgm:t>
    </dgm:pt>
    <dgm:pt modelId="{9E4A6D9C-7984-4824-AD57-3747FD4D5513}" type="parTrans" cxnId="{D783A47C-BE32-492E-83FA-3F11CA008FFD}">
      <dgm:prSet/>
      <dgm:spPr/>
      <dgm:t>
        <a:bodyPr/>
        <a:lstStyle/>
        <a:p>
          <a:endParaRPr lang="en-US" sz="1600"/>
        </a:p>
      </dgm:t>
    </dgm:pt>
    <dgm:pt modelId="{D342A7ED-690B-459B-8D85-B11BE5867FA1}" type="sibTrans" cxnId="{D783A47C-BE32-492E-83FA-3F11CA008FFD}">
      <dgm:prSet/>
      <dgm:spPr/>
      <dgm:t>
        <a:bodyPr/>
        <a:lstStyle/>
        <a:p>
          <a:endParaRPr lang="en-US"/>
        </a:p>
      </dgm:t>
    </dgm:pt>
    <dgm:pt modelId="{24C98728-702E-4E5A-9C81-E17431C5C782}">
      <dgm:prSet custT="1"/>
      <dgm:spPr/>
      <dgm:t>
        <a:bodyPr/>
        <a:lstStyle/>
        <a:p>
          <a:r>
            <a:rPr lang="en-US" sz="800" b="0" i="0" u="none"/>
            <a:t>strategic Communications Department</a:t>
          </a:r>
          <a:endParaRPr lang="en-US" sz="800"/>
        </a:p>
      </dgm:t>
    </dgm:pt>
    <dgm:pt modelId="{14092C7C-B8C2-4287-A23C-DF60F896E16E}" type="parTrans" cxnId="{CBBDA1F6-AE35-4103-960D-DD9301AD98BC}">
      <dgm:prSet/>
      <dgm:spPr/>
      <dgm:t>
        <a:bodyPr/>
        <a:lstStyle/>
        <a:p>
          <a:endParaRPr lang="en-US" sz="1600"/>
        </a:p>
      </dgm:t>
    </dgm:pt>
    <dgm:pt modelId="{EB2A7BB5-B202-431E-A874-35EA7B2CD7D0}" type="sibTrans" cxnId="{CBBDA1F6-AE35-4103-960D-DD9301AD98BC}">
      <dgm:prSet/>
      <dgm:spPr/>
      <dgm:t>
        <a:bodyPr/>
        <a:lstStyle/>
        <a:p>
          <a:endParaRPr lang="en-US"/>
        </a:p>
      </dgm:t>
    </dgm:pt>
    <dgm:pt modelId="{5F865CEB-B2EB-4D53-8DE0-0B6F001FAD13}">
      <dgm:prSet custT="1"/>
      <dgm:spPr/>
      <dgm:t>
        <a:bodyPr/>
        <a:lstStyle/>
        <a:p>
          <a:r>
            <a:rPr lang="en-US" sz="800" b="0" i="0" u="none"/>
            <a:t>Planning, Strategy &amp; Operations Department</a:t>
          </a:r>
          <a:endParaRPr lang="en-US" sz="800"/>
        </a:p>
      </dgm:t>
    </dgm:pt>
    <dgm:pt modelId="{CEE3EB80-447F-429A-812E-549ED016F9F6}" type="parTrans" cxnId="{5B2583B5-968A-4A42-82EB-6DECDA924F1E}">
      <dgm:prSet/>
      <dgm:spPr/>
      <dgm:t>
        <a:bodyPr/>
        <a:lstStyle/>
        <a:p>
          <a:endParaRPr lang="en-US" sz="1600"/>
        </a:p>
      </dgm:t>
    </dgm:pt>
    <dgm:pt modelId="{BE6107B4-489C-4A47-9E6A-DC5B73BDAEC2}" type="sibTrans" cxnId="{5B2583B5-968A-4A42-82EB-6DECDA924F1E}">
      <dgm:prSet/>
      <dgm:spPr/>
      <dgm:t>
        <a:bodyPr/>
        <a:lstStyle/>
        <a:p>
          <a:endParaRPr lang="en-US"/>
        </a:p>
      </dgm:t>
    </dgm:pt>
    <dgm:pt modelId="{CEE7FB97-5B7A-4037-B8AB-B31E70E51310}">
      <dgm:prSet custT="1"/>
      <dgm:spPr/>
      <dgm:t>
        <a:bodyPr/>
        <a:lstStyle/>
        <a:p>
          <a:r>
            <a:rPr lang="en-US" sz="800" b="0" i="0" u="none"/>
            <a:t>Sector Marketing</a:t>
          </a:r>
          <a:endParaRPr lang="en-US" sz="800"/>
        </a:p>
      </dgm:t>
    </dgm:pt>
    <dgm:pt modelId="{F8023072-779A-4F50-9FD3-B22F61C13155}" type="parTrans" cxnId="{9AA5079E-1E00-42C8-A854-0336D8CDF610}">
      <dgm:prSet/>
      <dgm:spPr/>
      <dgm:t>
        <a:bodyPr/>
        <a:lstStyle/>
        <a:p>
          <a:endParaRPr lang="en-US" sz="1600"/>
        </a:p>
      </dgm:t>
    </dgm:pt>
    <dgm:pt modelId="{1710ACB2-82C6-46A1-A883-4B88FD9D7816}" type="sibTrans" cxnId="{9AA5079E-1E00-42C8-A854-0336D8CDF610}">
      <dgm:prSet/>
      <dgm:spPr/>
      <dgm:t>
        <a:bodyPr/>
        <a:lstStyle/>
        <a:p>
          <a:endParaRPr lang="en-US"/>
        </a:p>
      </dgm:t>
    </dgm:pt>
    <dgm:pt modelId="{427E257A-9720-4385-803E-C52257938F7A}" type="pres">
      <dgm:prSet presAssocID="{D64D43B6-8C29-43A8-BF50-130EE66A7239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A7F72A73-2424-4185-A25C-3DDEC3FD4FD6}" type="pres">
      <dgm:prSet presAssocID="{275D2755-AFB3-4EAF-8667-190ED3554305}" presName="hierRoot1" presStyleCnt="0">
        <dgm:presLayoutVars>
          <dgm:hierBranch val="init"/>
        </dgm:presLayoutVars>
      </dgm:prSet>
      <dgm:spPr/>
    </dgm:pt>
    <dgm:pt modelId="{467CD7C7-D215-48A8-BE5C-B2B32994BF02}" type="pres">
      <dgm:prSet presAssocID="{275D2755-AFB3-4EAF-8667-190ED3554305}" presName="rootComposite1" presStyleCnt="0"/>
      <dgm:spPr/>
    </dgm:pt>
    <dgm:pt modelId="{29BF67E5-BA84-4202-87FD-1B0720324EDE}" type="pres">
      <dgm:prSet presAssocID="{275D2755-AFB3-4EAF-8667-190ED3554305}" presName="rootText1" presStyleLbl="node0" presStyleIdx="0" presStyleCnt="1">
        <dgm:presLayoutVars>
          <dgm:chPref val="3"/>
        </dgm:presLayoutVars>
      </dgm:prSet>
      <dgm:spPr/>
    </dgm:pt>
    <dgm:pt modelId="{EB18B992-8A49-4E0A-9C64-660A54B55CB4}" type="pres">
      <dgm:prSet presAssocID="{275D2755-AFB3-4EAF-8667-190ED3554305}" presName="rootConnector1" presStyleLbl="node1" presStyleIdx="0" presStyleCnt="0"/>
      <dgm:spPr/>
    </dgm:pt>
    <dgm:pt modelId="{49400318-D702-4557-B5EF-037F4CB07571}" type="pres">
      <dgm:prSet presAssocID="{275D2755-AFB3-4EAF-8667-190ED3554305}" presName="hierChild2" presStyleCnt="0"/>
      <dgm:spPr/>
    </dgm:pt>
    <dgm:pt modelId="{D0116207-F2E1-45F9-A507-7BB37276A8F2}" type="pres">
      <dgm:prSet presAssocID="{EEFFD529-C1B6-4B2A-B471-1F64A9CB67FE}" presName="Name37" presStyleLbl="parChTrans1D2" presStyleIdx="0" presStyleCnt="8"/>
      <dgm:spPr/>
    </dgm:pt>
    <dgm:pt modelId="{E374F675-2EC4-4F74-A84C-F82001B0AF15}" type="pres">
      <dgm:prSet presAssocID="{9454DE0B-A7C5-41F1-90C2-FC8050D84371}" presName="hierRoot2" presStyleCnt="0">
        <dgm:presLayoutVars>
          <dgm:hierBranch val="init"/>
        </dgm:presLayoutVars>
      </dgm:prSet>
      <dgm:spPr/>
    </dgm:pt>
    <dgm:pt modelId="{AEFF6565-FA3B-4572-87AE-16510444578A}" type="pres">
      <dgm:prSet presAssocID="{9454DE0B-A7C5-41F1-90C2-FC8050D84371}" presName="rootComposite" presStyleCnt="0"/>
      <dgm:spPr/>
    </dgm:pt>
    <dgm:pt modelId="{9D36D084-842B-4769-B486-B0D564F5B2E2}" type="pres">
      <dgm:prSet presAssocID="{9454DE0B-A7C5-41F1-90C2-FC8050D84371}" presName="rootText" presStyleLbl="node2" presStyleIdx="0" presStyleCnt="8">
        <dgm:presLayoutVars>
          <dgm:chPref val="3"/>
        </dgm:presLayoutVars>
      </dgm:prSet>
      <dgm:spPr/>
    </dgm:pt>
    <dgm:pt modelId="{82B72C0F-AA7D-4E4D-853A-F82ED4F6F636}" type="pres">
      <dgm:prSet presAssocID="{9454DE0B-A7C5-41F1-90C2-FC8050D84371}" presName="rootConnector" presStyleLbl="node2" presStyleIdx="0" presStyleCnt="8"/>
      <dgm:spPr/>
    </dgm:pt>
    <dgm:pt modelId="{1E8D6AC5-5532-41E4-8604-1AD2D6B0DDD2}" type="pres">
      <dgm:prSet presAssocID="{9454DE0B-A7C5-41F1-90C2-FC8050D84371}" presName="hierChild4" presStyleCnt="0"/>
      <dgm:spPr/>
    </dgm:pt>
    <dgm:pt modelId="{923DD7F0-6C33-46D7-9CDA-49B91AA9F5B6}" type="pres">
      <dgm:prSet presAssocID="{45C1B045-005C-4311-A1C3-7B90F72B1EE4}" presName="Name37" presStyleLbl="parChTrans1D3" presStyleIdx="0" presStyleCnt="37"/>
      <dgm:spPr/>
    </dgm:pt>
    <dgm:pt modelId="{1B5C147D-730D-4F9C-96F6-35487458ABD4}" type="pres">
      <dgm:prSet presAssocID="{CD98EBD2-7A6B-43F3-A890-4BDE47432228}" presName="hierRoot2" presStyleCnt="0">
        <dgm:presLayoutVars>
          <dgm:hierBranch val="init"/>
        </dgm:presLayoutVars>
      </dgm:prSet>
      <dgm:spPr/>
    </dgm:pt>
    <dgm:pt modelId="{753EE3A2-5222-4BE9-A100-951C42802887}" type="pres">
      <dgm:prSet presAssocID="{CD98EBD2-7A6B-43F3-A890-4BDE47432228}" presName="rootComposite" presStyleCnt="0"/>
      <dgm:spPr/>
    </dgm:pt>
    <dgm:pt modelId="{BD7D9270-77FF-4A61-86D2-2D73A2EED3CC}" type="pres">
      <dgm:prSet presAssocID="{CD98EBD2-7A6B-43F3-A890-4BDE47432228}" presName="rootText" presStyleLbl="node3" presStyleIdx="0" presStyleCnt="37">
        <dgm:presLayoutVars>
          <dgm:chPref val="3"/>
        </dgm:presLayoutVars>
      </dgm:prSet>
      <dgm:spPr/>
    </dgm:pt>
    <dgm:pt modelId="{660B3A40-9803-43E1-B5B9-B7B6838B9A98}" type="pres">
      <dgm:prSet presAssocID="{CD98EBD2-7A6B-43F3-A890-4BDE47432228}" presName="rootConnector" presStyleLbl="node3" presStyleIdx="0" presStyleCnt="37"/>
      <dgm:spPr/>
    </dgm:pt>
    <dgm:pt modelId="{D3A1FE5C-7E6F-4ED3-83CE-2FB916DEDCCB}" type="pres">
      <dgm:prSet presAssocID="{CD98EBD2-7A6B-43F3-A890-4BDE47432228}" presName="hierChild4" presStyleCnt="0"/>
      <dgm:spPr/>
    </dgm:pt>
    <dgm:pt modelId="{6B9114F8-D86E-4951-930B-84F5C309A3A1}" type="pres">
      <dgm:prSet presAssocID="{CD98EBD2-7A6B-43F3-A890-4BDE47432228}" presName="hierChild5" presStyleCnt="0"/>
      <dgm:spPr/>
    </dgm:pt>
    <dgm:pt modelId="{4084D449-9063-4EA5-A644-A20205B72339}" type="pres">
      <dgm:prSet presAssocID="{0405E95F-4415-4F7D-BFA7-D69636D5531E}" presName="Name37" presStyleLbl="parChTrans1D3" presStyleIdx="1" presStyleCnt="37"/>
      <dgm:spPr/>
    </dgm:pt>
    <dgm:pt modelId="{25EDA3E8-07DC-444B-B506-315ADDB216E1}" type="pres">
      <dgm:prSet presAssocID="{BC7114A3-932D-4BDE-B728-89EA46112B9C}" presName="hierRoot2" presStyleCnt="0">
        <dgm:presLayoutVars>
          <dgm:hierBranch val="init"/>
        </dgm:presLayoutVars>
      </dgm:prSet>
      <dgm:spPr/>
    </dgm:pt>
    <dgm:pt modelId="{134E10C1-1D0B-4E58-8F63-55366CADA97E}" type="pres">
      <dgm:prSet presAssocID="{BC7114A3-932D-4BDE-B728-89EA46112B9C}" presName="rootComposite" presStyleCnt="0"/>
      <dgm:spPr/>
    </dgm:pt>
    <dgm:pt modelId="{11E24951-FAF1-44ED-A77A-A29BE866770F}" type="pres">
      <dgm:prSet presAssocID="{BC7114A3-932D-4BDE-B728-89EA46112B9C}" presName="rootText" presStyleLbl="node3" presStyleIdx="1" presStyleCnt="37">
        <dgm:presLayoutVars>
          <dgm:chPref val="3"/>
        </dgm:presLayoutVars>
      </dgm:prSet>
      <dgm:spPr/>
    </dgm:pt>
    <dgm:pt modelId="{189A4130-F57E-48DA-9BB8-C4FC4063F1D2}" type="pres">
      <dgm:prSet presAssocID="{BC7114A3-932D-4BDE-B728-89EA46112B9C}" presName="rootConnector" presStyleLbl="node3" presStyleIdx="1" presStyleCnt="37"/>
      <dgm:spPr/>
    </dgm:pt>
    <dgm:pt modelId="{0A6C2022-6393-4047-8E63-43796B3449D3}" type="pres">
      <dgm:prSet presAssocID="{BC7114A3-932D-4BDE-B728-89EA46112B9C}" presName="hierChild4" presStyleCnt="0"/>
      <dgm:spPr/>
    </dgm:pt>
    <dgm:pt modelId="{475C98F4-B09F-4B08-BFF2-D52AF829A205}" type="pres">
      <dgm:prSet presAssocID="{BC7114A3-932D-4BDE-B728-89EA46112B9C}" presName="hierChild5" presStyleCnt="0"/>
      <dgm:spPr/>
    </dgm:pt>
    <dgm:pt modelId="{8DADBF1B-9685-4B68-8BEC-85007486F1C8}" type="pres">
      <dgm:prSet presAssocID="{EDC20C76-D971-40A3-A574-7E96B8258720}" presName="Name37" presStyleLbl="parChTrans1D3" presStyleIdx="2" presStyleCnt="37"/>
      <dgm:spPr/>
    </dgm:pt>
    <dgm:pt modelId="{19E55628-3D24-48D4-9747-D31FC42ECE21}" type="pres">
      <dgm:prSet presAssocID="{70EFCBE2-B6CC-494A-9B0E-17001C7A5B1C}" presName="hierRoot2" presStyleCnt="0">
        <dgm:presLayoutVars>
          <dgm:hierBranch val="init"/>
        </dgm:presLayoutVars>
      </dgm:prSet>
      <dgm:spPr/>
    </dgm:pt>
    <dgm:pt modelId="{B27E0E28-B7F5-4939-B891-19766F8795D3}" type="pres">
      <dgm:prSet presAssocID="{70EFCBE2-B6CC-494A-9B0E-17001C7A5B1C}" presName="rootComposite" presStyleCnt="0"/>
      <dgm:spPr/>
    </dgm:pt>
    <dgm:pt modelId="{0F3517A2-46D8-4431-BE54-8B6E2275C4F8}" type="pres">
      <dgm:prSet presAssocID="{70EFCBE2-B6CC-494A-9B0E-17001C7A5B1C}" presName="rootText" presStyleLbl="node3" presStyleIdx="2" presStyleCnt="37">
        <dgm:presLayoutVars>
          <dgm:chPref val="3"/>
        </dgm:presLayoutVars>
      </dgm:prSet>
      <dgm:spPr/>
    </dgm:pt>
    <dgm:pt modelId="{45DFA714-2A59-44E1-9355-96A7A0770B3C}" type="pres">
      <dgm:prSet presAssocID="{70EFCBE2-B6CC-494A-9B0E-17001C7A5B1C}" presName="rootConnector" presStyleLbl="node3" presStyleIdx="2" presStyleCnt="37"/>
      <dgm:spPr/>
    </dgm:pt>
    <dgm:pt modelId="{D1492ACE-3083-4B86-BAB8-8A97A890578B}" type="pres">
      <dgm:prSet presAssocID="{70EFCBE2-B6CC-494A-9B0E-17001C7A5B1C}" presName="hierChild4" presStyleCnt="0"/>
      <dgm:spPr/>
    </dgm:pt>
    <dgm:pt modelId="{71EB6953-BB57-4FB3-9DBC-C7EE552E7351}" type="pres">
      <dgm:prSet presAssocID="{70EFCBE2-B6CC-494A-9B0E-17001C7A5B1C}" presName="hierChild5" presStyleCnt="0"/>
      <dgm:spPr/>
    </dgm:pt>
    <dgm:pt modelId="{E6D0518A-5054-4B2F-8947-40581324F440}" type="pres">
      <dgm:prSet presAssocID="{E2C47C2A-298B-479F-84DF-89741E9A6263}" presName="Name37" presStyleLbl="parChTrans1D3" presStyleIdx="3" presStyleCnt="37"/>
      <dgm:spPr/>
    </dgm:pt>
    <dgm:pt modelId="{32B1DB74-3FAF-4FD8-91A6-339CE65787F9}" type="pres">
      <dgm:prSet presAssocID="{357B889E-B387-412B-B9B6-9F32476C3C10}" presName="hierRoot2" presStyleCnt="0">
        <dgm:presLayoutVars>
          <dgm:hierBranch val="init"/>
        </dgm:presLayoutVars>
      </dgm:prSet>
      <dgm:spPr/>
    </dgm:pt>
    <dgm:pt modelId="{E692D7A2-2794-463D-BB87-6E9D5814F08F}" type="pres">
      <dgm:prSet presAssocID="{357B889E-B387-412B-B9B6-9F32476C3C10}" presName="rootComposite" presStyleCnt="0"/>
      <dgm:spPr/>
    </dgm:pt>
    <dgm:pt modelId="{7512449D-D039-4D97-B5A1-507866526137}" type="pres">
      <dgm:prSet presAssocID="{357B889E-B387-412B-B9B6-9F32476C3C10}" presName="rootText" presStyleLbl="node3" presStyleIdx="3" presStyleCnt="37">
        <dgm:presLayoutVars>
          <dgm:chPref val="3"/>
        </dgm:presLayoutVars>
      </dgm:prSet>
      <dgm:spPr/>
    </dgm:pt>
    <dgm:pt modelId="{C2CD8812-C5B8-4E74-878A-A4783D02D292}" type="pres">
      <dgm:prSet presAssocID="{357B889E-B387-412B-B9B6-9F32476C3C10}" presName="rootConnector" presStyleLbl="node3" presStyleIdx="3" presStyleCnt="37"/>
      <dgm:spPr/>
    </dgm:pt>
    <dgm:pt modelId="{FCE5BF36-A5B3-4E5C-B6B1-29D8070AD331}" type="pres">
      <dgm:prSet presAssocID="{357B889E-B387-412B-B9B6-9F32476C3C10}" presName="hierChild4" presStyleCnt="0"/>
      <dgm:spPr/>
    </dgm:pt>
    <dgm:pt modelId="{05B51141-3A72-4E6F-B51F-E544D614D4DF}" type="pres">
      <dgm:prSet presAssocID="{357B889E-B387-412B-B9B6-9F32476C3C10}" presName="hierChild5" presStyleCnt="0"/>
      <dgm:spPr/>
    </dgm:pt>
    <dgm:pt modelId="{AB48BFC8-5CAE-43E3-B30B-05EAA6610A12}" type="pres">
      <dgm:prSet presAssocID="{2C276487-DA0E-499B-8323-01B5D816B11D}" presName="Name37" presStyleLbl="parChTrans1D3" presStyleIdx="4" presStyleCnt="37"/>
      <dgm:spPr/>
    </dgm:pt>
    <dgm:pt modelId="{3B84F681-0A6C-4D26-9CEC-CCC8FF294B63}" type="pres">
      <dgm:prSet presAssocID="{3F1C9013-A47E-4C84-86BE-7D14F351C903}" presName="hierRoot2" presStyleCnt="0">
        <dgm:presLayoutVars>
          <dgm:hierBranch val="init"/>
        </dgm:presLayoutVars>
      </dgm:prSet>
      <dgm:spPr/>
    </dgm:pt>
    <dgm:pt modelId="{4B869762-BD0F-4473-B651-7062F951B0D7}" type="pres">
      <dgm:prSet presAssocID="{3F1C9013-A47E-4C84-86BE-7D14F351C903}" presName="rootComposite" presStyleCnt="0"/>
      <dgm:spPr/>
    </dgm:pt>
    <dgm:pt modelId="{9908689E-EE7C-4351-8855-E1EACABFB9F7}" type="pres">
      <dgm:prSet presAssocID="{3F1C9013-A47E-4C84-86BE-7D14F351C903}" presName="rootText" presStyleLbl="node3" presStyleIdx="4" presStyleCnt="37">
        <dgm:presLayoutVars>
          <dgm:chPref val="3"/>
        </dgm:presLayoutVars>
      </dgm:prSet>
      <dgm:spPr/>
    </dgm:pt>
    <dgm:pt modelId="{73E73B00-2D84-49E8-9F99-AB9F12B387B7}" type="pres">
      <dgm:prSet presAssocID="{3F1C9013-A47E-4C84-86BE-7D14F351C903}" presName="rootConnector" presStyleLbl="node3" presStyleIdx="4" presStyleCnt="37"/>
      <dgm:spPr/>
    </dgm:pt>
    <dgm:pt modelId="{8BC7191E-05E2-4FF6-86F2-0FFE0AC69C9A}" type="pres">
      <dgm:prSet presAssocID="{3F1C9013-A47E-4C84-86BE-7D14F351C903}" presName="hierChild4" presStyleCnt="0"/>
      <dgm:spPr/>
    </dgm:pt>
    <dgm:pt modelId="{CEEAF7DB-5299-43A6-AD6C-BBDE5FF6D7F2}" type="pres">
      <dgm:prSet presAssocID="{3F1C9013-A47E-4C84-86BE-7D14F351C903}" presName="hierChild5" presStyleCnt="0"/>
      <dgm:spPr/>
    </dgm:pt>
    <dgm:pt modelId="{FD8E1870-07B7-45F1-9B39-6D26ED95C6E5}" type="pres">
      <dgm:prSet presAssocID="{21298782-BB51-4405-9598-C6E7C43E13CA}" presName="Name37" presStyleLbl="parChTrans1D3" presStyleIdx="5" presStyleCnt="37"/>
      <dgm:spPr/>
    </dgm:pt>
    <dgm:pt modelId="{B9F5F69A-DAFD-463B-AE70-7B7C1D12096B}" type="pres">
      <dgm:prSet presAssocID="{5943CE6D-CD85-4821-BC57-C1A6AB08FDBD}" presName="hierRoot2" presStyleCnt="0">
        <dgm:presLayoutVars>
          <dgm:hierBranch val="init"/>
        </dgm:presLayoutVars>
      </dgm:prSet>
      <dgm:spPr/>
    </dgm:pt>
    <dgm:pt modelId="{B8D105BB-A9B5-4CF3-91AC-91E0411D9351}" type="pres">
      <dgm:prSet presAssocID="{5943CE6D-CD85-4821-BC57-C1A6AB08FDBD}" presName="rootComposite" presStyleCnt="0"/>
      <dgm:spPr/>
    </dgm:pt>
    <dgm:pt modelId="{FFF4A685-614C-4C1A-A450-9A23A762802C}" type="pres">
      <dgm:prSet presAssocID="{5943CE6D-CD85-4821-BC57-C1A6AB08FDBD}" presName="rootText" presStyleLbl="node3" presStyleIdx="5" presStyleCnt="37">
        <dgm:presLayoutVars>
          <dgm:chPref val="3"/>
        </dgm:presLayoutVars>
      </dgm:prSet>
      <dgm:spPr/>
    </dgm:pt>
    <dgm:pt modelId="{21F4EC95-B400-454C-8990-BE3DCF58B679}" type="pres">
      <dgm:prSet presAssocID="{5943CE6D-CD85-4821-BC57-C1A6AB08FDBD}" presName="rootConnector" presStyleLbl="node3" presStyleIdx="5" presStyleCnt="37"/>
      <dgm:spPr/>
    </dgm:pt>
    <dgm:pt modelId="{A6CD6686-F6BB-4CB0-8170-67A35AB4892B}" type="pres">
      <dgm:prSet presAssocID="{5943CE6D-CD85-4821-BC57-C1A6AB08FDBD}" presName="hierChild4" presStyleCnt="0"/>
      <dgm:spPr/>
    </dgm:pt>
    <dgm:pt modelId="{B04056AA-93D0-4E04-BF6D-CC8AECE3DA7A}" type="pres">
      <dgm:prSet presAssocID="{5943CE6D-CD85-4821-BC57-C1A6AB08FDBD}" presName="hierChild5" presStyleCnt="0"/>
      <dgm:spPr/>
    </dgm:pt>
    <dgm:pt modelId="{67296B69-5B92-4AD8-A3DF-EB796293B9BE}" type="pres">
      <dgm:prSet presAssocID="{AB81E4AA-045D-4273-BB8A-DD5BFEBE7830}" presName="Name37" presStyleLbl="parChTrans1D3" presStyleIdx="6" presStyleCnt="37"/>
      <dgm:spPr/>
    </dgm:pt>
    <dgm:pt modelId="{DBECD75E-7420-4A36-9127-CD5C9901B10C}" type="pres">
      <dgm:prSet presAssocID="{54123D53-2FB3-40DE-AC69-96B72C2B8728}" presName="hierRoot2" presStyleCnt="0">
        <dgm:presLayoutVars>
          <dgm:hierBranch val="init"/>
        </dgm:presLayoutVars>
      </dgm:prSet>
      <dgm:spPr/>
    </dgm:pt>
    <dgm:pt modelId="{CFD1F82C-740E-4B36-B034-626B1CE7EAAE}" type="pres">
      <dgm:prSet presAssocID="{54123D53-2FB3-40DE-AC69-96B72C2B8728}" presName="rootComposite" presStyleCnt="0"/>
      <dgm:spPr/>
    </dgm:pt>
    <dgm:pt modelId="{DEE4ADA9-6824-49AE-BB2C-2CA1D49EF755}" type="pres">
      <dgm:prSet presAssocID="{54123D53-2FB3-40DE-AC69-96B72C2B8728}" presName="rootText" presStyleLbl="node3" presStyleIdx="6" presStyleCnt="37">
        <dgm:presLayoutVars>
          <dgm:chPref val="3"/>
        </dgm:presLayoutVars>
      </dgm:prSet>
      <dgm:spPr/>
    </dgm:pt>
    <dgm:pt modelId="{2AE1F57C-9EEB-4CC3-B4B0-85DDD13A3A87}" type="pres">
      <dgm:prSet presAssocID="{54123D53-2FB3-40DE-AC69-96B72C2B8728}" presName="rootConnector" presStyleLbl="node3" presStyleIdx="6" presStyleCnt="37"/>
      <dgm:spPr/>
    </dgm:pt>
    <dgm:pt modelId="{12A60082-EB5B-4B43-958D-5BE82E1BC7CF}" type="pres">
      <dgm:prSet presAssocID="{54123D53-2FB3-40DE-AC69-96B72C2B8728}" presName="hierChild4" presStyleCnt="0"/>
      <dgm:spPr/>
    </dgm:pt>
    <dgm:pt modelId="{04673A47-E4E1-4DA5-BCC4-E3988336D638}" type="pres">
      <dgm:prSet presAssocID="{54123D53-2FB3-40DE-AC69-96B72C2B8728}" presName="hierChild5" presStyleCnt="0"/>
      <dgm:spPr/>
    </dgm:pt>
    <dgm:pt modelId="{1FA8578B-DA81-47B4-99EE-FFDF9290E223}" type="pres">
      <dgm:prSet presAssocID="{9454DE0B-A7C5-41F1-90C2-FC8050D84371}" presName="hierChild5" presStyleCnt="0"/>
      <dgm:spPr/>
    </dgm:pt>
    <dgm:pt modelId="{DE822372-A48C-4BA2-A644-6839E4055D14}" type="pres">
      <dgm:prSet presAssocID="{FC5C48F2-A12C-4E04-A8C5-8569EC8848F8}" presName="Name37" presStyleLbl="parChTrans1D2" presStyleIdx="1" presStyleCnt="8"/>
      <dgm:spPr/>
    </dgm:pt>
    <dgm:pt modelId="{9FBF58AD-468B-4B2C-9C44-06A68C2C7E49}" type="pres">
      <dgm:prSet presAssocID="{2DBA0C76-000E-4ADD-AF0E-27EB6538586D}" presName="hierRoot2" presStyleCnt="0">
        <dgm:presLayoutVars>
          <dgm:hierBranch val="init"/>
        </dgm:presLayoutVars>
      </dgm:prSet>
      <dgm:spPr/>
    </dgm:pt>
    <dgm:pt modelId="{59990C51-1D16-4E1B-9597-8110E0C195CD}" type="pres">
      <dgm:prSet presAssocID="{2DBA0C76-000E-4ADD-AF0E-27EB6538586D}" presName="rootComposite" presStyleCnt="0"/>
      <dgm:spPr/>
    </dgm:pt>
    <dgm:pt modelId="{256BED32-9DC0-4F29-99EC-570332BC2EF6}" type="pres">
      <dgm:prSet presAssocID="{2DBA0C76-000E-4ADD-AF0E-27EB6538586D}" presName="rootText" presStyleLbl="node2" presStyleIdx="1" presStyleCnt="8">
        <dgm:presLayoutVars>
          <dgm:chPref val="3"/>
        </dgm:presLayoutVars>
      </dgm:prSet>
      <dgm:spPr/>
    </dgm:pt>
    <dgm:pt modelId="{2572BC47-9EBF-460E-887A-DA2D44C24B9D}" type="pres">
      <dgm:prSet presAssocID="{2DBA0C76-000E-4ADD-AF0E-27EB6538586D}" presName="rootConnector" presStyleLbl="node2" presStyleIdx="1" presStyleCnt="8"/>
      <dgm:spPr/>
    </dgm:pt>
    <dgm:pt modelId="{763ED679-696B-4F7E-8ECF-E06CA9300E68}" type="pres">
      <dgm:prSet presAssocID="{2DBA0C76-000E-4ADD-AF0E-27EB6538586D}" presName="hierChild4" presStyleCnt="0"/>
      <dgm:spPr/>
    </dgm:pt>
    <dgm:pt modelId="{282027A8-3E90-44F9-8A2B-4453A1C7A3CE}" type="pres">
      <dgm:prSet presAssocID="{9E4A6D9C-7984-4824-AD57-3747FD4D5513}" presName="Name37" presStyleLbl="parChTrans1D3" presStyleIdx="7" presStyleCnt="37"/>
      <dgm:spPr/>
    </dgm:pt>
    <dgm:pt modelId="{47648477-F4E6-4030-B518-33F72AC2B000}" type="pres">
      <dgm:prSet presAssocID="{79FFEF7E-305D-46EC-80C9-3CC765771624}" presName="hierRoot2" presStyleCnt="0">
        <dgm:presLayoutVars>
          <dgm:hierBranch val="init"/>
        </dgm:presLayoutVars>
      </dgm:prSet>
      <dgm:spPr/>
    </dgm:pt>
    <dgm:pt modelId="{A000C41D-1DF0-4B6E-9E17-21FDBD915853}" type="pres">
      <dgm:prSet presAssocID="{79FFEF7E-305D-46EC-80C9-3CC765771624}" presName="rootComposite" presStyleCnt="0"/>
      <dgm:spPr/>
    </dgm:pt>
    <dgm:pt modelId="{67213DB3-AE86-4556-9FBF-5F35C777AABE}" type="pres">
      <dgm:prSet presAssocID="{79FFEF7E-305D-46EC-80C9-3CC765771624}" presName="rootText" presStyleLbl="node3" presStyleIdx="7" presStyleCnt="37">
        <dgm:presLayoutVars>
          <dgm:chPref val="3"/>
        </dgm:presLayoutVars>
      </dgm:prSet>
      <dgm:spPr/>
    </dgm:pt>
    <dgm:pt modelId="{115C352B-1849-473D-B675-E86CC5F7DF45}" type="pres">
      <dgm:prSet presAssocID="{79FFEF7E-305D-46EC-80C9-3CC765771624}" presName="rootConnector" presStyleLbl="node3" presStyleIdx="7" presStyleCnt="37"/>
      <dgm:spPr/>
    </dgm:pt>
    <dgm:pt modelId="{60E334A3-A886-497B-B2DA-377387DEEB41}" type="pres">
      <dgm:prSet presAssocID="{79FFEF7E-305D-46EC-80C9-3CC765771624}" presName="hierChild4" presStyleCnt="0"/>
      <dgm:spPr/>
    </dgm:pt>
    <dgm:pt modelId="{3F705CD3-50BC-4155-89FD-A3CEAB018359}" type="pres">
      <dgm:prSet presAssocID="{79FFEF7E-305D-46EC-80C9-3CC765771624}" presName="hierChild5" presStyleCnt="0"/>
      <dgm:spPr/>
    </dgm:pt>
    <dgm:pt modelId="{0A957C05-994D-4657-BAED-D070E526985D}" type="pres">
      <dgm:prSet presAssocID="{14092C7C-B8C2-4287-A23C-DF60F896E16E}" presName="Name37" presStyleLbl="parChTrans1D3" presStyleIdx="8" presStyleCnt="37"/>
      <dgm:spPr/>
    </dgm:pt>
    <dgm:pt modelId="{A809C203-8532-4494-9A8B-5C45C18444AC}" type="pres">
      <dgm:prSet presAssocID="{24C98728-702E-4E5A-9C81-E17431C5C782}" presName="hierRoot2" presStyleCnt="0">
        <dgm:presLayoutVars>
          <dgm:hierBranch val="init"/>
        </dgm:presLayoutVars>
      </dgm:prSet>
      <dgm:spPr/>
    </dgm:pt>
    <dgm:pt modelId="{3939359F-AB92-4139-AD40-BF189B1327B6}" type="pres">
      <dgm:prSet presAssocID="{24C98728-702E-4E5A-9C81-E17431C5C782}" presName="rootComposite" presStyleCnt="0"/>
      <dgm:spPr/>
    </dgm:pt>
    <dgm:pt modelId="{6A449FB0-8ACA-4442-AF28-A96A2E21CFD0}" type="pres">
      <dgm:prSet presAssocID="{24C98728-702E-4E5A-9C81-E17431C5C782}" presName="rootText" presStyleLbl="node3" presStyleIdx="8" presStyleCnt="37">
        <dgm:presLayoutVars>
          <dgm:chPref val="3"/>
        </dgm:presLayoutVars>
      </dgm:prSet>
      <dgm:spPr/>
    </dgm:pt>
    <dgm:pt modelId="{6E7AE551-E3FE-4193-A5D5-24047FB06374}" type="pres">
      <dgm:prSet presAssocID="{24C98728-702E-4E5A-9C81-E17431C5C782}" presName="rootConnector" presStyleLbl="node3" presStyleIdx="8" presStyleCnt="37"/>
      <dgm:spPr/>
    </dgm:pt>
    <dgm:pt modelId="{D413E8BB-4F70-4C5C-ADC4-4D6D04C6FE65}" type="pres">
      <dgm:prSet presAssocID="{24C98728-702E-4E5A-9C81-E17431C5C782}" presName="hierChild4" presStyleCnt="0"/>
      <dgm:spPr/>
    </dgm:pt>
    <dgm:pt modelId="{889CE6A9-76BA-4E32-964F-33D6E901CE09}" type="pres">
      <dgm:prSet presAssocID="{24C98728-702E-4E5A-9C81-E17431C5C782}" presName="hierChild5" presStyleCnt="0"/>
      <dgm:spPr/>
    </dgm:pt>
    <dgm:pt modelId="{942660A8-481C-44E5-BF2A-024AB741918C}" type="pres">
      <dgm:prSet presAssocID="{CEE3EB80-447F-429A-812E-549ED016F9F6}" presName="Name37" presStyleLbl="parChTrans1D3" presStyleIdx="9" presStyleCnt="37"/>
      <dgm:spPr/>
    </dgm:pt>
    <dgm:pt modelId="{B6C2EF95-EF68-4F9F-B5C0-D32A922DCD15}" type="pres">
      <dgm:prSet presAssocID="{5F865CEB-B2EB-4D53-8DE0-0B6F001FAD13}" presName="hierRoot2" presStyleCnt="0">
        <dgm:presLayoutVars>
          <dgm:hierBranch val="init"/>
        </dgm:presLayoutVars>
      </dgm:prSet>
      <dgm:spPr/>
    </dgm:pt>
    <dgm:pt modelId="{12EEC594-BF7D-48DA-9E58-2A982FDD6FCE}" type="pres">
      <dgm:prSet presAssocID="{5F865CEB-B2EB-4D53-8DE0-0B6F001FAD13}" presName="rootComposite" presStyleCnt="0"/>
      <dgm:spPr/>
    </dgm:pt>
    <dgm:pt modelId="{79C0AC3B-7363-4806-81AE-14FF31A20713}" type="pres">
      <dgm:prSet presAssocID="{5F865CEB-B2EB-4D53-8DE0-0B6F001FAD13}" presName="rootText" presStyleLbl="node3" presStyleIdx="9" presStyleCnt="37">
        <dgm:presLayoutVars>
          <dgm:chPref val="3"/>
        </dgm:presLayoutVars>
      </dgm:prSet>
      <dgm:spPr/>
    </dgm:pt>
    <dgm:pt modelId="{5BBC1AFF-88F9-4A8D-8FB0-625A9111CC75}" type="pres">
      <dgm:prSet presAssocID="{5F865CEB-B2EB-4D53-8DE0-0B6F001FAD13}" presName="rootConnector" presStyleLbl="node3" presStyleIdx="9" presStyleCnt="37"/>
      <dgm:spPr/>
    </dgm:pt>
    <dgm:pt modelId="{898596DC-E7BE-41ED-BAEF-51E9E271CFD8}" type="pres">
      <dgm:prSet presAssocID="{5F865CEB-B2EB-4D53-8DE0-0B6F001FAD13}" presName="hierChild4" presStyleCnt="0"/>
      <dgm:spPr/>
    </dgm:pt>
    <dgm:pt modelId="{ED34BA60-41A2-4A4D-9945-E455B72EB58F}" type="pres">
      <dgm:prSet presAssocID="{5F865CEB-B2EB-4D53-8DE0-0B6F001FAD13}" presName="hierChild5" presStyleCnt="0"/>
      <dgm:spPr/>
    </dgm:pt>
    <dgm:pt modelId="{EE034DB2-1B9D-49AC-A7E9-0B6784A172BC}" type="pres">
      <dgm:prSet presAssocID="{F8023072-779A-4F50-9FD3-B22F61C13155}" presName="Name37" presStyleLbl="parChTrans1D3" presStyleIdx="10" presStyleCnt="37"/>
      <dgm:spPr/>
    </dgm:pt>
    <dgm:pt modelId="{C49D1FF3-5481-4E3E-BEBD-FB0D10540AB4}" type="pres">
      <dgm:prSet presAssocID="{CEE7FB97-5B7A-4037-B8AB-B31E70E51310}" presName="hierRoot2" presStyleCnt="0">
        <dgm:presLayoutVars>
          <dgm:hierBranch val="init"/>
        </dgm:presLayoutVars>
      </dgm:prSet>
      <dgm:spPr/>
    </dgm:pt>
    <dgm:pt modelId="{FBE29AC4-EAAA-443A-8DCD-8AB6908490F7}" type="pres">
      <dgm:prSet presAssocID="{CEE7FB97-5B7A-4037-B8AB-B31E70E51310}" presName="rootComposite" presStyleCnt="0"/>
      <dgm:spPr/>
    </dgm:pt>
    <dgm:pt modelId="{F749C274-C20E-4C56-8643-81FAF1228ABA}" type="pres">
      <dgm:prSet presAssocID="{CEE7FB97-5B7A-4037-B8AB-B31E70E51310}" presName="rootText" presStyleLbl="node3" presStyleIdx="10" presStyleCnt="37">
        <dgm:presLayoutVars>
          <dgm:chPref val="3"/>
        </dgm:presLayoutVars>
      </dgm:prSet>
      <dgm:spPr/>
    </dgm:pt>
    <dgm:pt modelId="{76A6DA95-33CE-4B86-BCEF-3E8BFE5F8C8C}" type="pres">
      <dgm:prSet presAssocID="{CEE7FB97-5B7A-4037-B8AB-B31E70E51310}" presName="rootConnector" presStyleLbl="node3" presStyleIdx="10" presStyleCnt="37"/>
      <dgm:spPr/>
    </dgm:pt>
    <dgm:pt modelId="{50351072-F675-4790-B07D-3C2965394CFE}" type="pres">
      <dgm:prSet presAssocID="{CEE7FB97-5B7A-4037-B8AB-B31E70E51310}" presName="hierChild4" presStyleCnt="0"/>
      <dgm:spPr/>
    </dgm:pt>
    <dgm:pt modelId="{B3126A43-4771-48A3-B842-1052655E3E4D}" type="pres">
      <dgm:prSet presAssocID="{CEE7FB97-5B7A-4037-B8AB-B31E70E51310}" presName="hierChild5" presStyleCnt="0"/>
      <dgm:spPr/>
    </dgm:pt>
    <dgm:pt modelId="{4C7BB692-D028-4B8D-B386-D4A3477A4BD0}" type="pres">
      <dgm:prSet presAssocID="{2DBA0C76-000E-4ADD-AF0E-27EB6538586D}" presName="hierChild5" presStyleCnt="0"/>
      <dgm:spPr/>
    </dgm:pt>
    <dgm:pt modelId="{B93A9DA3-5D97-4290-A2AB-F85B3A89546F}" type="pres">
      <dgm:prSet presAssocID="{95438A28-C2C3-4C45-A3AC-2AAECCF5DBEE}" presName="Name37" presStyleLbl="parChTrans1D2" presStyleIdx="2" presStyleCnt="8"/>
      <dgm:spPr/>
    </dgm:pt>
    <dgm:pt modelId="{0D481396-5827-46AC-AC1D-14AF9C371B99}" type="pres">
      <dgm:prSet presAssocID="{EA6B4145-288E-4145-97BF-ECA50CDAA0CB}" presName="hierRoot2" presStyleCnt="0">
        <dgm:presLayoutVars>
          <dgm:hierBranch val="init"/>
        </dgm:presLayoutVars>
      </dgm:prSet>
      <dgm:spPr/>
    </dgm:pt>
    <dgm:pt modelId="{3FE0435B-35D9-4EA6-A27B-B72422172C42}" type="pres">
      <dgm:prSet presAssocID="{EA6B4145-288E-4145-97BF-ECA50CDAA0CB}" presName="rootComposite" presStyleCnt="0"/>
      <dgm:spPr/>
    </dgm:pt>
    <dgm:pt modelId="{1B8D084A-5E64-4227-8AA1-46976866E2F0}" type="pres">
      <dgm:prSet presAssocID="{EA6B4145-288E-4145-97BF-ECA50CDAA0CB}" presName="rootText" presStyleLbl="node2" presStyleIdx="2" presStyleCnt="8">
        <dgm:presLayoutVars>
          <dgm:chPref val="3"/>
        </dgm:presLayoutVars>
      </dgm:prSet>
      <dgm:spPr/>
    </dgm:pt>
    <dgm:pt modelId="{DB6DFD31-8ED0-45B2-A94F-FF8C1EAC10B0}" type="pres">
      <dgm:prSet presAssocID="{EA6B4145-288E-4145-97BF-ECA50CDAA0CB}" presName="rootConnector" presStyleLbl="node2" presStyleIdx="2" presStyleCnt="8"/>
      <dgm:spPr/>
    </dgm:pt>
    <dgm:pt modelId="{8E47E593-57D8-4F96-B4CA-C49ADD9C4D77}" type="pres">
      <dgm:prSet presAssocID="{EA6B4145-288E-4145-97BF-ECA50CDAA0CB}" presName="hierChild4" presStyleCnt="0"/>
      <dgm:spPr/>
    </dgm:pt>
    <dgm:pt modelId="{EA5668C6-28E3-4F20-9B2F-C4347CA5EE73}" type="pres">
      <dgm:prSet presAssocID="{7195F95C-9F1A-4631-B3E7-F054555DB33B}" presName="Name37" presStyleLbl="parChTrans1D3" presStyleIdx="11" presStyleCnt="37"/>
      <dgm:spPr/>
    </dgm:pt>
    <dgm:pt modelId="{408422EB-06F3-4734-B115-284E9C3BC4F5}" type="pres">
      <dgm:prSet presAssocID="{1333AFEE-8F07-4513-80B1-F79895614607}" presName="hierRoot2" presStyleCnt="0">
        <dgm:presLayoutVars>
          <dgm:hierBranch val="init"/>
        </dgm:presLayoutVars>
      </dgm:prSet>
      <dgm:spPr/>
    </dgm:pt>
    <dgm:pt modelId="{5BED3601-2614-47F3-9D4F-B926BA5ACCE3}" type="pres">
      <dgm:prSet presAssocID="{1333AFEE-8F07-4513-80B1-F79895614607}" presName="rootComposite" presStyleCnt="0"/>
      <dgm:spPr/>
    </dgm:pt>
    <dgm:pt modelId="{3A815C92-D8B5-4F9F-BFBB-C6857FDC1142}" type="pres">
      <dgm:prSet presAssocID="{1333AFEE-8F07-4513-80B1-F79895614607}" presName="rootText" presStyleLbl="node3" presStyleIdx="11" presStyleCnt="37">
        <dgm:presLayoutVars>
          <dgm:chPref val="3"/>
        </dgm:presLayoutVars>
      </dgm:prSet>
      <dgm:spPr/>
    </dgm:pt>
    <dgm:pt modelId="{9638C91A-6F99-400C-AF26-D7CF687A424A}" type="pres">
      <dgm:prSet presAssocID="{1333AFEE-8F07-4513-80B1-F79895614607}" presName="rootConnector" presStyleLbl="node3" presStyleIdx="11" presStyleCnt="37"/>
      <dgm:spPr/>
    </dgm:pt>
    <dgm:pt modelId="{49B354D5-6901-4244-8612-C283CD6D9ADF}" type="pres">
      <dgm:prSet presAssocID="{1333AFEE-8F07-4513-80B1-F79895614607}" presName="hierChild4" presStyleCnt="0"/>
      <dgm:spPr/>
    </dgm:pt>
    <dgm:pt modelId="{E2BEB42D-81F2-4F9C-BB13-82D8AB9C69B7}" type="pres">
      <dgm:prSet presAssocID="{1333AFEE-8F07-4513-80B1-F79895614607}" presName="hierChild5" presStyleCnt="0"/>
      <dgm:spPr/>
    </dgm:pt>
    <dgm:pt modelId="{879DAD1E-324F-4CBD-BB38-9A21D24EBF88}" type="pres">
      <dgm:prSet presAssocID="{5B59FCF7-8AC3-48B4-99A1-C8D477FA2DFD}" presName="Name37" presStyleLbl="parChTrans1D3" presStyleIdx="12" presStyleCnt="37"/>
      <dgm:spPr/>
    </dgm:pt>
    <dgm:pt modelId="{26C4BEB7-D5AA-4225-BD63-5461C4F3023B}" type="pres">
      <dgm:prSet presAssocID="{0AE6CD57-0813-477F-9485-806A271EDABB}" presName="hierRoot2" presStyleCnt="0">
        <dgm:presLayoutVars>
          <dgm:hierBranch val="init"/>
        </dgm:presLayoutVars>
      </dgm:prSet>
      <dgm:spPr/>
    </dgm:pt>
    <dgm:pt modelId="{495B7C63-85C8-4134-9671-72520E92208C}" type="pres">
      <dgm:prSet presAssocID="{0AE6CD57-0813-477F-9485-806A271EDABB}" presName="rootComposite" presStyleCnt="0"/>
      <dgm:spPr/>
    </dgm:pt>
    <dgm:pt modelId="{C808DAF5-007B-424C-B8AF-8FE9C721018F}" type="pres">
      <dgm:prSet presAssocID="{0AE6CD57-0813-477F-9485-806A271EDABB}" presName="rootText" presStyleLbl="node3" presStyleIdx="12" presStyleCnt="37">
        <dgm:presLayoutVars>
          <dgm:chPref val="3"/>
        </dgm:presLayoutVars>
      </dgm:prSet>
      <dgm:spPr/>
    </dgm:pt>
    <dgm:pt modelId="{C78889E6-0B7A-4069-9D81-33F1542E363F}" type="pres">
      <dgm:prSet presAssocID="{0AE6CD57-0813-477F-9485-806A271EDABB}" presName="rootConnector" presStyleLbl="node3" presStyleIdx="12" presStyleCnt="37"/>
      <dgm:spPr/>
    </dgm:pt>
    <dgm:pt modelId="{FB04B426-EFAE-44B7-BED9-77BC73DE56C0}" type="pres">
      <dgm:prSet presAssocID="{0AE6CD57-0813-477F-9485-806A271EDABB}" presName="hierChild4" presStyleCnt="0"/>
      <dgm:spPr/>
    </dgm:pt>
    <dgm:pt modelId="{0E40410F-C88B-4BDD-8C5D-A47D7F94DFBE}" type="pres">
      <dgm:prSet presAssocID="{0AE6CD57-0813-477F-9485-806A271EDABB}" presName="hierChild5" presStyleCnt="0"/>
      <dgm:spPr/>
    </dgm:pt>
    <dgm:pt modelId="{50ABCFFC-29E8-4D6E-8965-3362DE5BD75D}" type="pres">
      <dgm:prSet presAssocID="{B652299D-9161-4CD2-94AD-3C5DAB3A75B7}" presName="Name37" presStyleLbl="parChTrans1D3" presStyleIdx="13" presStyleCnt="37"/>
      <dgm:spPr/>
    </dgm:pt>
    <dgm:pt modelId="{0AA18604-44B0-4E7F-98B6-6CA7B861041A}" type="pres">
      <dgm:prSet presAssocID="{EF107CA2-3A5C-402C-A19E-EFE41EA76F2B}" presName="hierRoot2" presStyleCnt="0">
        <dgm:presLayoutVars>
          <dgm:hierBranch val="init"/>
        </dgm:presLayoutVars>
      </dgm:prSet>
      <dgm:spPr/>
    </dgm:pt>
    <dgm:pt modelId="{F8FD6B2B-A48B-4BC0-843E-7C565B5F6C7F}" type="pres">
      <dgm:prSet presAssocID="{EF107CA2-3A5C-402C-A19E-EFE41EA76F2B}" presName="rootComposite" presStyleCnt="0"/>
      <dgm:spPr/>
    </dgm:pt>
    <dgm:pt modelId="{7989FF66-9F60-46CB-ACCC-307936E85A62}" type="pres">
      <dgm:prSet presAssocID="{EF107CA2-3A5C-402C-A19E-EFE41EA76F2B}" presName="rootText" presStyleLbl="node3" presStyleIdx="13" presStyleCnt="37">
        <dgm:presLayoutVars>
          <dgm:chPref val="3"/>
        </dgm:presLayoutVars>
      </dgm:prSet>
      <dgm:spPr/>
    </dgm:pt>
    <dgm:pt modelId="{C7D01E39-D438-4A03-8BC9-8245C628793F}" type="pres">
      <dgm:prSet presAssocID="{EF107CA2-3A5C-402C-A19E-EFE41EA76F2B}" presName="rootConnector" presStyleLbl="node3" presStyleIdx="13" presStyleCnt="37"/>
      <dgm:spPr/>
    </dgm:pt>
    <dgm:pt modelId="{3F72C6D4-8C29-4806-8097-B7D52DACCA8B}" type="pres">
      <dgm:prSet presAssocID="{EF107CA2-3A5C-402C-A19E-EFE41EA76F2B}" presName="hierChild4" presStyleCnt="0"/>
      <dgm:spPr/>
    </dgm:pt>
    <dgm:pt modelId="{D83B3CCD-3CC6-4375-B4BD-0E20EE3DC40A}" type="pres">
      <dgm:prSet presAssocID="{EF107CA2-3A5C-402C-A19E-EFE41EA76F2B}" presName="hierChild5" presStyleCnt="0"/>
      <dgm:spPr/>
    </dgm:pt>
    <dgm:pt modelId="{5BA5E2B5-1080-4877-A9FD-EC40A90BDFA5}" type="pres">
      <dgm:prSet presAssocID="{1596B05F-6527-44DB-9F75-6AAACAE5C8D2}" presName="Name37" presStyleLbl="parChTrans1D3" presStyleIdx="14" presStyleCnt="37"/>
      <dgm:spPr/>
    </dgm:pt>
    <dgm:pt modelId="{83A84B2A-F5E3-4C0C-A0CD-D68B4D897ACC}" type="pres">
      <dgm:prSet presAssocID="{C05619D9-6300-4AEB-A3DF-DD2FC4D38813}" presName="hierRoot2" presStyleCnt="0">
        <dgm:presLayoutVars>
          <dgm:hierBranch val="init"/>
        </dgm:presLayoutVars>
      </dgm:prSet>
      <dgm:spPr/>
    </dgm:pt>
    <dgm:pt modelId="{D7CAF98A-2204-4939-B5AF-678B929ED9B3}" type="pres">
      <dgm:prSet presAssocID="{C05619D9-6300-4AEB-A3DF-DD2FC4D38813}" presName="rootComposite" presStyleCnt="0"/>
      <dgm:spPr/>
    </dgm:pt>
    <dgm:pt modelId="{FAFDCDCE-E742-4F5C-9042-47A3210826AF}" type="pres">
      <dgm:prSet presAssocID="{C05619D9-6300-4AEB-A3DF-DD2FC4D38813}" presName="rootText" presStyleLbl="node3" presStyleIdx="14" presStyleCnt="37">
        <dgm:presLayoutVars>
          <dgm:chPref val="3"/>
        </dgm:presLayoutVars>
      </dgm:prSet>
      <dgm:spPr/>
    </dgm:pt>
    <dgm:pt modelId="{7C7EDA97-890E-438B-8693-45DB74A7BE27}" type="pres">
      <dgm:prSet presAssocID="{C05619D9-6300-4AEB-A3DF-DD2FC4D38813}" presName="rootConnector" presStyleLbl="node3" presStyleIdx="14" presStyleCnt="37"/>
      <dgm:spPr/>
    </dgm:pt>
    <dgm:pt modelId="{0F7F2B65-6381-4E0B-818D-B3AF776F40E7}" type="pres">
      <dgm:prSet presAssocID="{C05619D9-6300-4AEB-A3DF-DD2FC4D38813}" presName="hierChild4" presStyleCnt="0"/>
      <dgm:spPr/>
    </dgm:pt>
    <dgm:pt modelId="{B50B39E1-18C0-4C8C-A3C5-4BD49E4041B8}" type="pres">
      <dgm:prSet presAssocID="{C05619D9-6300-4AEB-A3DF-DD2FC4D38813}" presName="hierChild5" presStyleCnt="0"/>
      <dgm:spPr/>
    </dgm:pt>
    <dgm:pt modelId="{B9F30A9F-C958-45D2-BDD0-1647B18AFBE0}" type="pres">
      <dgm:prSet presAssocID="{EA6B4145-288E-4145-97BF-ECA50CDAA0CB}" presName="hierChild5" presStyleCnt="0"/>
      <dgm:spPr/>
    </dgm:pt>
    <dgm:pt modelId="{9B8189D4-1EF2-475C-B613-8260DFDA68B3}" type="pres">
      <dgm:prSet presAssocID="{70C2D0E9-0F56-44EE-8BF0-0652B6A9A4AA}" presName="Name37" presStyleLbl="parChTrans1D2" presStyleIdx="3" presStyleCnt="8"/>
      <dgm:spPr/>
    </dgm:pt>
    <dgm:pt modelId="{4A168FF6-E1C5-450B-821F-EC438A6E089F}" type="pres">
      <dgm:prSet presAssocID="{3C90CE6A-EAA0-42F1-BD1F-32CAD2C3D805}" presName="hierRoot2" presStyleCnt="0">
        <dgm:presLayoutVars>
          <dgm:hierBranch val="init"/>
        </dgm:presLayoutVars>
      </dgm:prSet>
      <dgm:spPr/>
    </dgm:pt>
    <dgm:pt modelId="{1FD1F5E1-095B-431C-B4C9-E7F19D130E0A}" type="pres">
      <dgm:prSet presAssocID="{3C90CE6A-EAA0-42F1-BD1F-32CAD2C3D805}" presName="rootComposite" presStyleCnt="0"/>
      <dgm:spPr/>
    </dgm:pt>
    <dgm:pt modelId="{3B4006D6-959F-4E14-82BA-F0259EFFF137}" type="pres">
      <dgm:prSet presAssocID="{3C90CE6A-EAA0-42F1-BD1F-32CAD2C3D805}" presName="rootText" presStyleLbl="node2" presStyleIdx="3" presStyleCnt="8">
        <dgm:presLayoutVars>
          <dgm:chPref val="3"/>
        </dgm:presLayoutVars>
      </dgm:prSet>
      <dgm:spPr/>
    </dgm:pt>
    <dgm:pt modelId="{238763FC-3FDB-418C-9B42-E0B626CBDF8F}" type="pres">
      <dgm:prSet presAssocID="{3C90CE6A-EAA0-42F1-BD1F-32CAD2C3D805}" presName="rootConnector" presStyleLbl="node2" presStyleIdx="3" presStyleCnt="8"/>
      <dgm:spPr/>
    </dgm:pt>
    <dgm:pt modelId="{B382B4DB-C42B-4ECE-B67A-0A27F355E959}" type="pres">
      <dgm:prSet presAssocID="{3C90CE6A-EAA0-42F1-BD1F-32CAD2C3D805}" presName="hierChild4" presStyleCnt="0"/>
      <dgm:spPr/>
    </dgm:pt>
    <dgm:pt modelId="{11997D6A-465A-45C6-A0DF-F337D8CF8718}" type="pres">
      <dgm:prSet presAssocID="{0BDF942D-E688-4B7D-9580-0F8BB034B844}" presName="Name37" presStyleLbl="parChTrans1D3" presStyleIdx="15" presStyleCnt="37"/>
      <dgm:spPr/>
    </dgm:pt>
    <dgm:pt modelId="{57CAE02F-16C9-4FE4-A36D-EE24BDC4830F}" type="pres">
      <dgm:prSet presAssocID="{24CA127F-E639-4697-9789-909A3EC0A016}" presName="hierRoot2" presStyleCnt="0">
        <dgm:presLayoutVars>
          <dgm:hierBranch val="init"/>
        </dgm:presLayoutVars>
      </dgm:prSet>
      <dgm:spPr/>
    </dgm:pt>
    <dgm:pt modelId="{E1F8D31F-4319-4C2D-8847-E0E4D4A281D5}" type="pres">
      <dgm:prSet presAssocID="{24CA127F-E639-4697-9789-909A3EC0A016}" presName="rootComposite" presStyleCnt="0"/>
      <dgm:spPr/>
    </dgm:pt>
    <dgm:pt modelId="{4D573F0E-FFFE-4F4C-B8F3-9709269791EA}" type="pres">
      <dgm:prSet presAssocID="{24CA127F-E639-4697-9789-909A3EC0A016}" presName="rootText" presStyleLbl="node3" presStyleIdx="15" presStyleCnt="37">
        <dgm:presLayoutVars>
          <dgm:chPref val="3"/>
        </dgm:presLayoutVars>
      </dgm:prSet>
      <dgm:spPr/>
    </dgm:pt>
    <dgm:pt modelId="{D73594A3-6020-41BB-9BF6-A67A6A6C62C0}" type="pres">
      <dgm:prSet presAssocID="{24CA127F-E639-4697-9789-909A3EC0A016}" presName="rootConnector" presStyleLbl="node3" presStyleIdx="15" presStyleCnt="37"/>
      <dgm:spPr/>
    </dgm:pt>
    <dgm:pt modelId="{8C87EAE2-E677-4331-9306-07D006814D2F}" type="pres">
      <dgm:prSet presAssocID="{24CA127F-E639-4697-9789-909A3EC0A016}" presName="hierChild4" presStyleCnt="0"/>
      <dgm:spPr/>
    </dgm:pt>
    <dgm:pt modelId="{FE9335F6-B077-4011-848C-B20644888183}" type="pres">
      <dgm:prSet presAssocID="{24CA127F-E639-4697-9789-909A3EC0A016}" presName="hierChild5" presStyleCnt="0"/>
      <dgm:spPr/>
    </dgm:pt>
    <dgm:pt modelId="{EC62EB6B-4A5A-467E-BF2C-A1B79BCBE15D}" type="pres">
      <dgm:prSet presAssocID="{5632572D-FDE6-4B7E-A473-B78B26126874}" presName="Name37" presStyleLbl="parChTrans1D3" presStyleIdx="16" presStyleCnt="37"/>
      <dgm:spPr/>
    </dgm:pt>
    <dgm:pt modelId="{8BFE5A13-7914-4FA9-86AD-02F765BD9874}" type="pres">
      <dgm:prSet presAssocID="{E90E1F7E-0211-4419-B014-E3217A0086DA}" presName="hierRoot2" presStyleCnt="0">
        <dgm:presLayoutVars>
          <dgm:hierBranch val="init"/>
        </dgm:presLayoutVars>
      </dgm:prSet>
      <dgm:spPr/>
    </dgm:pt>
    <dgm:pt modelId="{6C2A8E3B-C881-4550-BC76-2681F9BB9CCF}" type="pres">
      <dgm:prSet presAssocID="{E90E1F7E-0211-4419-B014-E3217A0086DA}" presName="rootComposite" presStyleCnt="0"/>
      <dgm:spPr/>
    </dgm:pt>
    <dgm:pt modelId="{A2759D17-BBBC-41C5-AA1C-A657446A9475}" type="pres">
      <dgm:prSet presAssocID="{E90E1F7E-0211-4419-B014-E3217A0086DA}" presName="rootText" presStyleLbl="node3" presStyleIdx="16" presStyleCnt="37">
        <dgm:presLayoutVars>
          <dgm:chPref val="3"/>
        </dgm:presLayoutVars>
      </dgm:prSet>
      <dgm:spPr/>
    </dgm:pt>
    <dgm:pt modelId="{546A1C11-C9EE-46C5-9D6B-FCA591E8B03A}" type="pres">
      <dgm:prSet presAssocID="{E90E1F7E-0211-4419-B014-E3217A0086DA}" presName="rootConnector" presStyleLbl="node3" presStyleIdx="16" presStyleCnt="37"/>
      <dgm:spPr/>
    </dgm:pt>
    <dgm:pt modelId="{EAD10AFE-D838-434B-BACE-86000EA6CDC0}" type="pres">
      <dgm:prSet presAssocID="{E90E1F7E-0211-4419-B014-E3217A0086DA}" presName="hierChild4" presStyleCnt="0"/>
      <dgm:spPr/>
    </dgm:pt>
    <dgm:pt modelId="{A7D48EC1-890F-4FA0-BC42-69B74D90A87A}" type="pres">
      <dgm:prSet presAssocID="{E90E1F7E-0211-4419-B014-E3217A0086DA}" presName="hierChild5" presStyleCnt="0"/>
      <dgm:spPr/>
    </dgm:pt>
    <dgm:pt modelId="{2F8A8082-B83C-4BEF-8C5A-9ECF10C669CA}" type="pres">
      <dgm:prSet presAssocID="{97137293-0181-4017-A1F2-CD8625F30649}" presName="Name37" presStyleLbl="parChTrans1D3" presStyleIdx="17" presStyleCnt="37"/>
      <dgm:spPr/>
    </dgm:pt>
    <dgm:pt modelId="{C7ED5503-B10F-4F9F-B213-F64DF7FDB0D4}" type="pres">
      <dgm:prSet presAssocID="{B050F782-46FB-4CAC-BB0B-28D2F65F57F7}" presName="hierRoot2" presStyleCnt="0">
        <dgm:presLayoutVars>
          <dgm:hierBranch val="init"/>
        </dgm:presLayoutVars>
      </dgm:prSet>
      <dgm:spPr/>
    </dgm:pt>
    <dgm:pt modelId="{55A57C26-603A-45E4-A982-D1AEEAB42AE2}" type="pres">
      <dgm:prSet presAssocID="{B050F782-46FB-4CAC-BB0B-28D2F65F57F7}" presName="rootComposite" presStyleCnt="0"/>
      <dgm:spPr/>
    </dgm:pt>
    <dgm:pt modelId="{B1FCD531-9A95-4D48-8038-660AD4F8AB2B}" type="pres">
      <dgm:prSet presAssocID="{B050F782-46FB-4CAC-BB0B-28D2F65F57F7}" presName="rootText" presStyleLbl="node3" presStyleIdx="17" presStyleCnt="37">
        <dgm:presLayoutVars>
          <dgm:chPref val="3"/>
        </dgm:presLayoutVars>
      </dgm:prSet>
      <dgm:spPr/>
    </dgm:pt>
    <dgm:pt modelId="{0BFA7D93-9E4C-45AB-820E-8E2293D29D07}" type="pres">
      <dgm:prSet presAssocID="{B050F782-46FB-4CAC-BB0B-28D2F65F57F7}" presName="rootConnector" presStyleLbl="node3" presStyleIdx="17" presStyleCnt="37"/>
      <dgm:spPr/>
    </dgm:pt>
    <dgm:pt modelId="{D3BEEAEB-6FBA-4B55-8420-F27F6F7236DB}" type="pres">
      <dgm:prSet presAssocID="{B050F782-46FB-4CAC-BB0B-28D2F65F57F7}" presName="hierChild4" presStyleCnt="0"/>
      <dgm:spPr/>
    </dgm:pt>
    <dgm:pt modelId="{460C2966-0DCD-4B28-AEAF-CBA8CADDBD96}" type="pres">
      <dgm:prSet presAssocID="{B050F782-46FB-4CAC-BB0B-28D2F65F57F7}" presName="hierChild5" presStyleCnt="0"/>
      <dgm:spPr/>
    </dgm:pt>
    <dgm:pt modelId="{7F68D7C4-A3B5-42BC-9E1D-AA5F77A5491E}" type="pres">
      <dgm:prSet presAssocID="{E9E04D74-221C-4089-A5F8-CCD69214090A}" presName="Name37" presStyleLbl="parChTrans1D3" presStyleIdx="18" presStyleCnt="37"/>
      <dgm:spPr/>
    </dgm:pt>
    <dgm:pt modelId="{C9C1D77F-0F3B-4152-9CA5-99E5BD451200}" type="pres">
      <dgm:prSet presAssocID="{E385FCE3-D751-42E7-9C0C-45CD14FC660C}" presName="hierRoot2" presStyleCnt="0">
        <dgm:presLayoutVars>
          <dgm:hierBranch val="init"/>
        </dgm:presLayoutVars>
      </dgm:prSet>
      <dgm:spPr/>
    </dgm:pt>
    <dgm:pt modelId="{8972E5F5-CA79-4DD6-9616-B8544345C7DA}" type="pres">
      <dgm:prSet presAssocID="{E385FCE3-D751-42E7-9C0C-45CD14FC660C}" presName="rootComposite" presStyleCnt="0"/>
      <dgm:spPr/>
    </dgm:pt>
    <dgm:pt modelId="{19AA5BE0-6440-4746-8832-09CB958D92DF}" type="pres">
      <dgm:prSet presAssocID="{E385FCE3-D751-42E7-9C0C-45CD14FC660C}" presName="rootText" presStyleLbl="node3" presStyleIdx="18" presStyleCnt="37">
        <dgm:presLayoutVars>
          <dgm:chPref val="3"/>
        </dgm:presLayoutVars>
      </dgm:prSet>
      <dgm:spPr/>
    </dgm:pt>
    <dgm:pt modelId="{7A045811-15A8-4399-A5CC-917779C010F3}" type="pres">
      <dgm:prSet presAssocID="{E385FCE3-D751-42E7-9C0C-45CD14FC660C}" presName="rootConnector" presStyleLbl="node3" presStyleIdx="18" presStyleCnt="37"/>
      <dgm:spPr/>
    </dgm:pt>
    <dgm:pt modelId="{6F9F326F-04D1-4E99-9020-18A01E8D816E}" type="pres">
      <dgm:prSet presAssocID="{E385FCE3-D751-42E7-9C0C-45CD14FC660C}" presName="hierChild4" presStyleCnt="0"/>
      <dgm:spPr/>
    </dgm:pt>
    <dgm:pt modelId="{ED1DC5C4-0385-4728-B258-32F58EE192B5}" type="pres">
      <dgm:prSet presAssocID="{E385FCE3-D751-42E7-9C0C-45CD14FC660C}" presName="hierChild5" presStyleCnt="0"/>
      <dgm:spPr/>
    </dgm:pt>
    <dgm:pt modelId="{C7E0782B-F175-47B9-A280-09E5C1F5D874}" type="pres">
      <dgm:prSet presAssocID="{87410729-49F0-4D1D-99C5-4BAE5B976E83}" presName="Name37" presStyleLbl="parChTrans1D3" presStyleIdx="19" presStyleCnt="37"/>
      <dgm:spPr/>
    </dgm:pt>
    <dgm:pt modelId="{C7909140-021C-4251-B540-59DF6B928E35}" type="pres">
      <dgm:prSet presAssocID="{05D3175E-C612-4C2C-87A7-FD661EAEEFBD}" presName="hierRoot2" presStyleCnt="0">
        <dgm:presLayoutVars>
          <dgm:hierBranch val="init"/>
        </dgm:presLayoutVars>
      </dgm:prSet>
      <dgm:spPr/>
    </dgm:pt>
    <dgm:pt modelId="{F60D4870-2A51-4E4A-A7EB-3CA40A86D1AB}" type="pres">
      <dgm:prSet presAssocID="{05D3175E-C612-4C2C-87A7-FD661EAEEFBD}" presName="rootComposite" presStyleCnt="0"/>
      <dgm:spPr/>
    </dgm:pt>
    <dgm:pt modelId="{CCC553FB-15F4-413A-8847-94F5B2AD648E}" type="pres">
      <dgm:prSet presAssocID="{05D3175E-C612-4C2C-87A7-FD661EAEEFBD}" presName="rootText" presStyleLbl="node3" presStyleIdx="19" presStyleCnt="37">
        <dgm:presLayoutVars>
          <dgm:chPref val="3"/>
        </dgm:presLayoutVars>
      </dgm:prSet>
      <dgm:spPr/>
    </dgm:pt>
    <dgm:pt modelId="{B84FA9F6-AB21-4BCE-A6E6-3D6EB4FD062A}" type="pres">
      <dgm:prSet presAssocID="{05D3175E-C612-4C2C-87A7-FD661EAEEFBD}" presName="rootConnector" presStyleLbl="node3" presStyleIdx="19" presStyleCnt="37"/>
      <dgm:spPr/>
    </dgm:pt>
    <dgm:pt modelId="{556DBBD6-8AFA-42C6-AD8B-2DC4D2A62678}" type="pres">
      <dgm:prSet presAssocID="{05D3175E-C612-4C2C-87A7-FD661EAEEFBD}" presName="hierChild4" presStyleCnt="0"/>
      <dgm:spPr/>
    </dgm:pt>
    <dgm:pt modelId="{277EA3DC-B579-4D98-B8BF-ECE024058DFE}" type="pres">
      <dgm:prSet presAssocID="{05D3175E-C612-4C2C-87A7-FD661EAEEFBD}" presName="hierChild5" presStyleCnt="0"/>
      <dgm:spPr/>
    </dgm:pt>
    <dgm:pt modelId="{B680243A-C60B-4CE6-ADC6-34706B6E7309}" type="pres">
      <dgm:prSet presAssocID="{A8D649BC-5CF0-440B-AE03-66AC5654DD26}" presName="Name37" presStyleLbl="parChTrans1D3" presStyleIdx="20" presStyleCnt="37"/>
      <dgm:spPr/>
    </dgm:pt>
    <dgm:pt modelId="{12AB99A2-5AC8-4797-AC67-52EDC55902B9}" type="pres">
      <dgm:prSet presAssocID="{03B85A45-7F73-44C4-A930-28A63A0D4C0E}" presName="hierRoot2" presStyleCnt="0">
        <dgm:presLayoutVars>
          <dgm:hierBranch val="init"/>
        </dgm:presLayoutVars>
      </dgm:prSet>
      <dgm:spPr/>
    </dgm:pt>
    <dgm:pt modelId="{F6CE950D-DDF5-4DCA-963B-1DC0A820DB37}" type="pres">
      <dgm:prSet presAssocID="{03B85A45-7F73-44C4-A930-28A63A0D4C0E}" presName="rootComposite" presStyleCnt="0"/>
      <dgm:spPr/>
    </dgm:pt>
    <dgm:pt modelId="{F81BC637-045E-4D5E-BA82-CB624F3517B0}" type="pres">
      <dgm:prSet presAssocID="{03B85A45-7F73-44C4-A930-28A63A0D4C0E}" presName="rootText" presStyleLbl="node3" presStyleIdx="20" presStyleCnt="37">
        <dgm:presLayoutVars>
          <dgm:chPref val="3"/>
        </dgm:presLayoutVars>
      </dgm:prSet>
      <dgm:spPr/>
    </dgm:pt>
    <dgm:pt modelId="{BEA91FFD-AEDA-4BB0-9B5B-53536D360754}" type="pres">
      <dgm:prSet presAssocID="{03B85A45-7F73-44C4-A930-28A63A0D4C0E}" presName="rootConnector" presStyleLbl="node3" presStyleIdx="20" presStyleCnt="37"/>
      <dgm:spPr/>
    </dgm:pt>
    <dgm:pt modelId="{8AF98AFE-63F6-46E1-9238-62FA4D16EED3}" type="pres">
      <dgm:prSet presAssocID="{03B85A45-7F73-44C4-A930-28A63A0D4C0E}" presName="hierChild4" presStyleCnt="0"/>
      <dgm:spPr/>
    </dgm:pt>
    <dgm:pt modelId="{C9BE9670-6932-404D-931B-C04791E88418}" type="pres">
      <dgm:prSet presAssocID="{03B85A45-7F73-44C4-A930-28A63A0D4C0E}" presName="hierChild5" presStyleCnt="0"/>
      <dgm:spPr/>
    </dgm:pt>
    <dgm:pt modelId="{A203B338-AA05-4ED8-8017-7179C020B503}" type="pres">
      <dgm:prSet presAssocID="{3C90CE6A-EAA0-42F1-BD1F-32CAD2C3D805}" presName="hierChild5" presStyleCnt="0"/>
      <dgm:spPr/>
    </dgm:pt>
    <dgm:pt modelId="{DFC2E0B4-20B6-4B29-872A-E789C48FE189}" type="pres">
      <dgm:prSet presAssocID="{D0B5DA6D-70A5-4419-8510-8461AE3E4072}" presName="Name37" presStyleLbl="parChTrans1D2" presStyleIdx="4" presStyleCnt="8"/>
      <dgm:spPr/>
    </dgm:pt>
    <dgm:pt modelId="{7C2C2B45-F426-4EE9-AC73-6FC11EB29EDD}" type="pres">
      <dgm:prSet presAssocID="{4DE72DAF-80C3-4709-A42C-6C425DBAAC67}" presName="hierRoot2" presStyleCnt="0">
        <dgm:presLayoutVars>
          <dgm:hierBranch val="init"/>
        </dgm:presLayoutVars>
      </dgm:prSet>
      <dgm:spPr/>
    </dgm:pt>
    <dgm:pt modelId="{2364860B-CD48-4B0D-9D19-D756DA24B717}" type="pres">
      <dgm:prSet presAssocID="{4DE72DAF-80C3-4709-A42C-6C425DBAAC67}" presName="rootComposite" presStyleCnt="0"/>
      <dgm:spPr/>
    </dgm:pt>
    <dgm:pt modelId="{72CE9576-3485-41D6-B016-AEAFEC45C168}" type="pres">
      <dgm:prSet presAssocID="{4DE72DAF-80C3-4709-A42C-6C425DBAAC67}" presName="rootText" presStyleLbl="node2" presStyleIdx="4" presStyleCnt="8">
        <dgm:presLayoutVars>
          <dgm:chPref val="3"/>
        </dgm:presLayoutVars>
      </dgm:prSet>
      <dgm:spPr/>
    </dgm:pt>
    <dgm:pt modelId="{7A9FD34F-8D67-4F80-90BD-38983F7865F4}" type="pres">
      <dgm:prSet presAssocID="{4DE72DAF-80C3-4709-A42C-6C425DBAAC67}" presName="rootConnector" presStyleLbl="node2" presStyleIdx="4" presStyleCnt="8"/>
      <dgm:spPr/>
    </dgm:pt>
    <dgm:pt modelId="{2AC45E6A-AB07-489E-80C2-BBF6D52F1AE6}" type="pres">
      <dgm:prSet presAssocID="{4DE72DAF-80C3-4709-A42C-6C425DBAAC67}" presName="hierChild4" presStyleCnt="0"/>
      <dgm:spPr/>
    </dgm:pt>
    <dgm:pt modelId="{16F7F3C1-B314-4697-9548-6102ADFB2845}" type="pres">
      <dgm:prSet presAssocID="{B4CF74BE-58CF-4B68-8976-50DD5BFD8066}" presName="Name37" presStyleLbl="parChTrans1D3" presStyleIdx="21" presStyleCnt="37"/>
      <dgm:spPr/>
    </dgm:pt>
    <dgm:pt modelId="{13E007F7-12D9-4EA9-ADEC-F2C9619E6C84}" type="pres">
      <dgm:prSet presAssocID="{8BAE89AD-628C-4BFF-8CB0-258B7A89EE17}" presName="hierRoot2" presStyleCnt="0">
        <dgm:presLayoutVars>
          <dgm:hierBranch val="init"/>
        </dgm:presLayoutVars>
      </dgm:prSet>
      <dgm:spPr/>
    </dgm:pt>
    <dgm:pt modelId="{110F19F2-C289-4331-9FFC-1D164F113251}" type="pres">
      <dgm:prSet presAssocID="{8BAE89AD-628C-4BFF-8CB0-258B7A89EE17}" presName="rootComposite" presStyleCnt="0"/>
      <dgm:spPr/>
    </dgm:pt>
    <dgm:pt modelId="{322C1AAB-D5B9-4A45-B7D8-02646F779554}" type="pres">
      <dgm:prSet presAssocID="{8BAE89AD-628C-4BFF-8CB0-258B7A89EE17}" presName="rootText" presStyleLbl="node3" presStyleIdx="21" presStyleCnt="37">
        <dgm:presLayoutVars>
          <dgm:chPref val="3"/>
        </dgm:presLayoutVars>
      </dgm:prSet>
      <dgm:spPr/>
    </dgm:pt>
    <dgm:pt modelId="{E2F5FA13-1CAB-42AE-8DED-ED1118BA7ED2}" type="pres">
      <dgm:prSet presAssocID="{8BAE89AD-628C-4BFF-8CB0-258B7A89EE17}" presName="rootConnector" presStyleLbl="node3" presStyleIdx="21" presStyleCnt="37"/>
      <dgm:spPr/>
    </dgm:pt>
    <dgm:pt modelId="{2A9525E9-A159-4A16-9989-D560178DFC4E}" type="pres">
      <dgm:prSet presAssocID="{8BAE89AD-628C-4BFF-8CB0-258B7A89EE17}" presName="hierChild4" presStyleCnt="0"/>
      <dgm:spPr/>
    </dgm:pt>
    <dgm:pt modelId="{AC383D6E-5C42-4F2B-9D84-F9AE11A6C128}" type="pres">
      <dgm:prSet presAssocID="{8BAE89AD-628C-4BFF-8CB0-258B7A89EE17}" presName="hierChild5" presStyleCnt="0"/>
      <dgm:spPr/>
    </dgm:pt>
    <dgm:pt modelId="{C66EAB58-8111-467D-BA44-029831F621E7}" type="pres">
      <dgm:prSet presAssocID="{B7890E23-7954-4CC0-921D-5A9456194D61}" presName="Name37" presStyleLbl="parChTrans1D3" presStyleIdx="22" presStyleCnt="37"/>
      <dgm:spPr/>
    </dgm:pt>
    <dgm:pt modelId="{E9D44ABB-673E-4E03-A979-248D01D3C077}" type="pres">
      <dgm:prSet presAssocID="{532F6F70-B5D5-4CA5-9FDD-E58A52A4ED94}" presName="hierRoot2" presStyleCnt="0">
        <dgm:presLayoutVars>
          <dgm:hierBranch val="init"/>
        </dgm:presLayoutVars>
      </dgm:prSet>
      <dgm:spPr/>
    </dgm:pt>
    <dgm:pt modelId="{31EF7769-9279-4A6D-B633-9BF0027652AE}" type="pres">
      <dgm:prSet presAssocID="{532F6F70-B5D5-4CA5-9FDD-E58A52A4ED94}" presName="rootComposite" presStyleCnt="0"/>
      <dgm:spPr/>
    </dgm:pt>
    <dgm:pt modelId="{98EF1D53-F3BB-4809-9EA1-E05EB58F62D9}" type="pres">
      <dgm:prSet presAssocID="{532F6F70-B5D5-4CA5-9FDD-E58A52A4ED94}" presName="rootText" presStyleLbl="node3" presStyleIdx="22" presStyleCnt="37">
        <dgm:presLayoutVars>
          <dgm:chPref val="3"/>
        </dgm:presLayoutVars>
      </dgm:prSet>
      <dgm:spPr/>
    </dgm:pt>
    <dgm:pt modelId="{F089EFED-52E0-4F5E-868B-E23852CAB5D2}" type="pres">
      <dgm:prSet presAssocID="{532F6F70-B5D5-4CA5-9FDD-E58A52A4ED94}" presName="rootConnector" presStyleLbl="node3" presStyleIdx="22" presStyleCnt="37"/>
      <dgm:spPr/>
    </dgm:pt>
    <dgm:pt modelId="{6740F8D0-CC9E-4E1F-9A9A-C5EC53A12AA6}" type="pres">
      <dgm:prSet presAssocID="{532F6F70-B5D5-4CA5-9FDD-E58A52A4ED94}" presName="hierChild4" presStyleCnt="0"/>
      <dgm:spPr/>
    </dgm:pt>
    <dgm:pt modelId="{D9710522-F20F-46EB-A456-99450121578E}" type="pres">
      <dgm:prSet presAssocID="{532F6F70-B5D5-4CA5-9FDD-E58A52A4ED94}" presName="hierChild5" presStyleCnt="0"/>
      <dgm:spPr/>
    </dgm:pt>
    <dgm:pt modelId="{625B5E24-9DF5-4005-A495-30F8253DDEE5}" type="pres">
      <dgm:prSet presAssocID="{BE53619F-C74E-4ACF-9BD7-F70BA7355090}" presName="Name37" presStyleLbl="parChTrans1D3" presStyleIdx="23" presStyleCnt="37"/>
      <dgm:spPr/>
    </dgm:pt>
    <dgm:pt modelId="{3BCAEFEA-B449-412D-8F5C-741065A755A4}" type="pres">
      <dgm:prSet presAssocID="{69816883-D163-4F32-8354-1970793F6218}" presName="hierRoot2" presStyleCnt="0">
        <dgm:presLayoutVars>
          <dgm:hierBranch val="init"/>
        </dgm:presLayoutVars>
      </dgm:prSet>
      <dgm:spPr/>
    </dgm:pt>
    <dgm:pt modelId="{301B220C-E019-425D-93EA-C4D41D6D1271}" type="pres">
      <dgm:prSet presAssocID="{69816883-D163-4F32-8354-1970793F6218}" presName="rootComposite" presStyleCnt="0"/>
      <dgm:spPr/>
    </dgm:pt>
    <dgm:pt modelId="{1BECE26A-8A62-446F-BB08-D2896523E025}" type="pres">
      <dgm:prSet presAssocID="{69816883-D163-4F32-8354-1970793F6218}" presName="rootText" presStyleLbl="node3" presStyleIdx="23" presStyleCnt="37">
        <dgm:presLayoutVars>
          <dgm:chPref val="3"/>
        </dgm:presLayoutVars>
      </dgm:prSet>
      <dgm:spPr/>
    </dgm:pt>
    <dgm:pt modelId="{6FB4CC05-60F5-4D4F-AA95-6A776EFC87EC}" type="pres">
      <dgm:prSet presAssocID="{69816883-D163-4F32-8354-1970793F6218}" presName="rootConnector" presStyleLbl="node3" presStyleIdx="23" presStyleCnt="37"/>
      <dgm:spPr/>
    </dgm:pt>
    <dgm:pt modelId="{F7F0AC2D-2C5D-45C5-8A4C-F8B4E94C9D29}" type="pres">
      <dgm:prSet presAssocID="{69816883-D163-4F32-8354-1970793F6218}" presName="hierChild4" presStyleCnt="0"/>
      <dgm:spPr/>
    </dgm:pt>
    <dgm:pt modelId="{D893F36C-F18C-4732-94C1-C04C464A2E56}" type="pres">
      <dgm:prSet presAssocID="{69816883-D163-4F32-8354-1970793F6218}" presName="hierChild5" presStyleCnt="0"/>
      <dgm:spPr/>
    </dgm:pt>
    <dgm:pt modelId="{2295849E-3CB4-4E08-BD6A-5C2F3485E851}" type="pres">
      <dgm:prSet presAssocID="{9DB08FEB-A983-4BE9-AEE1-704A1CBD2F85}" presName="Name37" presStyleLbl="parChTrans1D3" presStyleIdx="24" presStyleCnt="37"/>
      <dgm:spPr/>
    </dgm:pt>
    <dgm:pt modelId="{60437A08-3140-4694-817C-88683710CBF3}" type="pres">
      <dgm:prSet presAssocID="{E1C1A298-F580-4128-8F8D-F6DB65353385}" presName="hierRoot2" presStyleCnt="0">
        <dgm:presLayoutVars>
          <dgm:hierBranch val="init"/>
        </dgm:presLayoutVars>
      </dgm:prSet>
      <dgm:spPr/>
    </dgm:pt>
    <dgm:pt modelId="{AED20DDB-BA54-4BC4-B89A-5C2966794655}" type="pres">
      <dgm:prSet presAssocID="{E1C1A298-F580-4128-8F8D-F6DB65353385}" presName="rootComposite" presStyleCnt="0"/>
      <dgm:spPr/>
    </dgm:pt>
    <dgm:pt modelId="{BA3A29EB-5F49-4CE7-A2B4-9BA3179FCCF7}" type="pres">
      <dgm:prSet presAssocID="{E1C1A298-F580-4128-8F8D-F6DB65353385}" presName="rootText" presStyleLbl="node3" presStyleIdx="24" presStyleCnt="37">
        <dgm:presLayoutVars>
          <dgm:chPref val="3"/>
        </dgm:presLayoutVars>
      </dgm:prSet>
      <dgm:spPr/>
    </dgm:pt>
    <dgm:pt modelId="{2C86B113-DD34-4E90-A940-F9E2B19B82C1}" type="pres">
      <dgm:prSet presAssocID="{E1C1A298-F580-4128-8F8D-F6DB65353385}" presName="rootConnector" presStyleLbl="node3" presStyleIdx="24" presStyleCnt="37"/>
      <dgm:spPr/>
    </dgm:pt>
    <dgm:pt modelId="{CCF51B18-E334-4D57-819F-0ADCF55493DB}" type="pres">
      <dgm:prSet presAssocID="{E1C1A298-F580-4128-8F8D-F6DB65353385}" presName="hierChild4" presStyleCnt="0"/>
      <dgm:spPr/>
    </dgm:pt>
    <dgm:pt modelId="{A27CB127-5731-4873-A531-C613240B2AE8}" type="pres">
      <dgm:prSet presAssocID="{E1C1A298-F580-4128-8F8D-F6DB65353385}" presName="hierChild5" presStyleCnt="0"/>
      <dgm:spPr/>
    </dgm:pt>
    <dgm:pt modelId="{8C7DCB91-1240-4330-95A8-401C5DB06BAF}" type="pres">
      <dgm:prSet presAssocID="{B9AA4CFB-8704-4BBC-A7EA-49E7979AF7F0}" presName="Name37" presStyleLbl="parChTrans1D3" presStyleIdx="25" presStyleCnt="37"/>
      <dgm:spPr/>
    </dgm:pt>
    <dgm:pt modelId="{F7EC6CB6-D931-4878-AB1F-E41630CFAEEA}" type="pres">
      <dgm:prSet presAssocID="{65C6B914-A243-4B35-80F7-AB3DC5BD32AE}" presName="hierRoot2" presStyleCnt="0">
        <dgm:presLayoutVars>
          <dgm:hierBranch val="init"/>
        </dgm:presLayoutVars>
      </dgm:prSet>
      <dgm:spPr/>
    </dgm:pt>
    <dgm:pt modelId="{DD9857D3-3765-42C9-991D-4B56C833916A}" type="pres">
      <dgm:prSet presAssocID="{65C6B914-A243-4B35-80F7-AB3DC5BD32AE}" presName="rootComposite" presStyleCnt="0"/>
      <dgm:spPr/>
    </dgm:pt>
    <dgm:pt modelId="{B63C4D28-9667-4A87-8BC2-DCB5D1A6D355}" type="pres">
      <dgm:prSet presAssocID="{65C6B914-A243-4B35-80F7-AB3DC5BD32AE}" presName="rootText" presStyleLbl="node3" presStyleIdx="25" presStyleCnt="37">
        <dgm:presLayoutVars>
          <dgm:chPref val="3"/>
        </dgm:presLayoutVars>
      </dgm:prSet>
      <dgm:spPr/>
    </dgm:pt>
    <dgm:pt modelId="{6CFF9B98-15F6-48D6-9599-C7243585A7EA}" type="pres">
      <dgm:prSet presAssocID="{65C6B914-A243-4B35-80F7-AB3DC5BD32AE}" presName="rootConnector" presStyleLbl="node3" presStyleIdx="25" presStyleCnt="37"/>
      <dgm:spPr/>
    </dgm:pt>
    <dgm:pt modelId="{44377D4A-EDB6-4B51-9E16-284DAE90DEC3}" type="pres">
      <dgm:prSet presAssocID="{65C6B914-A243-4B35-80F7-AB3DC5BD32AE}" presName="hierChild4" presStyleCnt="0"/>
      <dgm:spPr/>
    </dgm:pt>
    <dgm:pt modelId="{C60A75B6-F1DB-4A6B-B1A4-B9F0E8854629}" type="pres">
      <dgm:prSet presAssocID="{65C6B914-A243-4B35-80F7-AB3DC5BD32AE}" presName="hierChild5" presStyleCnt="0"/>
      <dgm:spPr/>
    </dgm:pt>
    <dgm:pt modelId="{CA0F0CDD-8BA9-4974-AA2D-9DD2124151F5}" type="pres">
      <dgm:prSet presAssocID="{D339C85B-E073-4B73-A880-A2D114B2F3E4}" presName="Name37" presStyleLbl="parChTrans1D3" presStyleIdx="26" presStyleCnt="37"/>
      <dgm:spPr/>
    </dgm:pt>
    <dgm:pt modelId="{310F0EA6-D0C8-4476-A818-A2FF23C43DB9}" type="pres">
      <dgm:prSet presAssocID="{52B70142-DAF9-4182-BD3F-E8AA75CC7DD6}" presName="hierRoot2" presStyleCnt="0">
        <dgm:presLayoutVars>
          <dgm:hierBranch val="init"/>
        </dgm:presLayoutVars>
      </dgm:prSet>
      <dgm:spPr/>
    </dgm:pt>
    <dgm:pt modelId="{A2F2D702-4D2E-4F73-A180-B7A83F6EC22B}" type="pres">
      <dgm:prSet presAssocID="{52B70142-DAF9-4182-BD3F-E8AA75CC7DD6}" presName="rootComposite" presStyleCnt="0"/>
      <dgm:spPr/>
    </dgm:pt>
    <dgm:pt modelId="{0D3110FA-324F-49A8-996A-15A0FDA711CC}" type="pres">
      <dgm:prSet presAssocID="{52B70142-DAF9-4182-BD3F-E8AA75CC7DD6}" presName="rootText" presStyleLbl="node3" presStyleIdx="26" presStyleCnt="37">
        <dgm:presLayoutVars>
          <dgm:chPref val="3"/>
        </dgm:presLayoutVars>
      </dgm:prSet>
      <dgm:spPr/>
    </dgm:pt>
    <dgm:pt modelId="{ECD219A3-4524-4A08-A06A-F640735FEDED}" type="pres">
      <dgm:prSet presAssocID="{52B70142-DAF9-4182-BD3F-E8AA75CC7DD6}" presName="rootConnector" presStyleLbl="node3" presStyleIdx="26" presStyleCnt="37"/>
      <dgm:spPr/>
    </dgm:pt>
    <dgm:pt modelId="{97D06E6F-8BFC-4145-973F-765078C26D5F}" type="pres">
      <dgm:prSet presAssocID="{52B70142-DAF9-4182-BD3F-E8AA75CC7DD6}" presName="hierChild4" presStyleCnt="0"/>
      <dgm:spPr/>
    </dgm:pt>
    <dgm:pt modelId="{DDC73B76-30B4-4284-8C91-D836AC94E276}" type="pres">
      <dgm:prSet presAssocID="{52B70142-DAF9-4182-BD3F-E8AA75CC7DD6}" presName="hierChild5" presStyleCnt="0"/>
      <dgm:spPr/>
    </dgm:pt>
    <dgm:pt modelId="{D9162819-77D1-487D-83B1-B8232BE88684}" type="pres">
      <dgm:prSet presAssocID="{EFEFF577-A3FB-40B3-B0FF-500850030E40}" presName="Name37" presStyleLbl="parChTrans1D3" presStyleIdx="27" presStyleCnt="37"/>
      <dgm:spPr/>
    </dgm:pt>
    <dgm:pt modelId="{03C0DBE6-EBA6-45FE-9593-78807F468462}" type="pres">
      <dgm:prSet presAssocID="{34461B88-B9AA-486B-8BA5-9FB00807B6AA}" presName="hierRoot2" presStyleCnt="0">
        <dgm:presLayoutVars>
          <dgm:hierBranch val="init"/>
        </dgm:presLayoutVars>
      </dgm:prSet>
      <dgm:spPr/>
    </dgm:pt>
    <dgm:pt modelId="{8AE7FBEE-8EBE-4839-AFCD-2A6D031A53B6}" type="pres">
      <dgm:prSet presAssocID="{34461B88-B9AA-486B-8BA5-9FB00807B6AA}" presName="rootComposite" presStyleCnt="0"/>
      <dgm:spPr/>
    </dgm:pt>
    <dgm:pt modelId="{9A49ABE6-AB50-4691-B46D-6DC5CC79EC1A}" type="pres">
      <dgm:prSet presAssocID="{34461B88-B9AA-486B-8BA5-9FB00807B6AA}" presName="rootText" presStyleLbl="node3" presStyleIdx="27" presStyleCnt="37">
        <dgm:presLayoutVars>
          <dgm:chPref val="3"/>
        </dgm:presLayoutVars>
      </dgm:prSet>
      <dgm:spPr/>
    </dgm:pt>
    <dgm:pt modelId="{0940B232-9888-487D-8F65-5A7C1DE63225}" type="pres">
      <dgm:prSet presAssocID="{34461B88-B9AA-486B-8BA5-9FB00807B6AA}" presName="rootConnector" presStyleLbl="node3" presStyleIdx="27" presStyleCnt="37"/>
      <dgm:spPr/>
    </dgm:pt>
    <dgm:pt modelId="{146ABDC4-A2CE-4CD7-8466-189DB3854598}" type="pres">
      <dgm:prSet presAssocID="{34461B88-B9AA-486B-8BA5-9FB00807B6AA}" presName="hierChild4" presStyleCnt="0"/>
      <dgm:spPr/>
    </dgm:pt>
    <dgm:pt modelId="{42C18A7E-5C7D-4E38-9EA4-80239BACF151}" type="pres">
      <dgm:prSet presAssocID="{34461B88-B9AA-486B-8BA5-9FB00807B6AA}" presName="hierChild5" presStyleCnt="0"/>
      <dgm:spPr/>
    </dgm:pt>
    <dgm:pt modelId="{048F876B-E914-4F2C-A2B4-72ADC2E0A02E}" type="pres">
      <dgm:prSet presAssocID="{AC8A3907-2691-43AB-A0C0-1FB7DE20810E}" presName="Name37" presStyleLbl="parChTrans1D3" presStyleIdx="28" presStyleCnt="37"/>
      <dgm:spPr/>
    </dgm:pt>
    <dgm:pt modelId="{604036DC-616E-4E33-98B2-AF21EB7A5DA2}" type="pres">
      <dgm:prSet presAssocID="{7B99805D-3C39-4795-8216-F93BFFA2D459}" presName="hierRoot2" presStyleCnt="0">
        <dgm:presLayoutVars>
          <dgm:hierBranch val="init"/>
        </dgm:presLayoutVars>
      </dgm:prSet>
      <dgm:spPr/>
    </dgm:pt>
    <dgm:pt modelId="{9615377B-6E6F-4FB2-B16D-7443617574AC}" type="pres">
      <dgm:prSet presAssocID="{7B99805D-3C39-4795-8216-F93BFFA2D459}" presName="rootComposite" presStyleCnt="0"/>
      <dgm:spPr/>
    </dgm:pt>
    <dgm:pt modelId="{83A7B532-D19D-4D05-A41B-C8F7CF93A29B}" type="pres">
      <dgm:prSet presAssocID="{7B99805D-3C39-4795-8216-F93BFFA2D459}" presName="rootText" presStyleLbl="node3" presStyleIdx="28" presStyleCnt="37">
        <dgm:presLayoutVars>
          <dgm:chPref val="3"/>
        </dgm:presLayoutVars>
      </dgm:prSet>
      <dgm:spPr/>
    </dgm:pt>
    <dgm:pt modelId="{24CC3259-8990-48CD-9D63-AB3897B9F545}" type="pres">
      <dgm:prSet presAssocID="{7B99805D-3C39-4795-8216-F93BFFA2D459}" presName="rootConnector" presStyleLbl="node3" presStyleIdx="28" presStyleCnt="37"/>
      <dgm:spPr/>
    </dgm:pt>
    <dgm:pt modelId="{82133E1C-06C2-4C69-906D-FF4332B83D38}" type="pres">
      <dgm:prSet presAssocID="{7B99805D-3C39-4795-8216-F93BFFA2D459}" presName="hierChild4" presStyleCnt="0"/>
      <dgm:spPr/>
    </dgm:pt>
    <dgm:pt modelId="{3F811389-9AFF-48DC-A942-C93E10471390}" type="pres">
      <dgm:prSet presAssocID="{7B99805D-3C39-4795-8216-F93BFFA2D459}" presName="hierChild5" presStyleCnt="0"/>
      <dgm:spPr/>
    </dgm:pt>
    <dgm:pt modelId="{9F3770C1-95F9-4EDB-BCEB-322B4EC773F6}" type="pres">
      <dgm:prSet presAssocID="{A636DEBE-C1CF-48B1-90FD-18EE95A1A620}" presName="Name37" presStyleLbl="parChTrans1D3" presStyleIdx="29" presStyleCnt="37"/>
      <dgm:spPr/>
    </dgm:pt>
    <dgm:pt modelId="{178AD067-4826-4CBF-9CE3-1F748A0B9081}" type="pres">
      <dgm:prSet presAssocID="{BD4FC882-A4DD-4A3A-9665-3BD280DB055E}" presName="hierRoot2" presStyleCnt="0">
        <dgm:presLayoutVars>
          <dgm:hierBranch val="init"/>
        </dgm:presLayoutVars>
      </dgm:prSet>
      <dgm:spPr/>
    </dgm:pt>
    <dgm:pt modelId="{E1C39787-92B3-4884-86D5-493394B2E66E}" type="pres">
      <dgm:prSet presAssocID="{BD4FC882-A4DD-4A3A-9665-3BD280DB055E}" presName="rootComposite" presStyleCnt="0"/>
      <dgm:spPr/>
    </dgm:pt>
    <dgm:pt modelId="{818C6BD5-032F-4E1D-A8F3-6C801413AD7F}" type="pres">
      <dgm:prSet presAssocID="{BD4FC882-A4DD-4A3A-9665-3BD280DB055E}" presName="rootText" presStyleLbl="node3" presStyleIdx="29" presStyleCnt="37">
        <dgm:presLayoutVars>
          <dgm:chPref val="3"/>
        </dgm:presLayoutVars>
      </dgm:prSet>
      <dgm:spPr/>
    </dgm:pt>
    <dgm:pt modelId="{B781AA3F-6760-4E30-9AD4-DC442AADABDD}" type="pres">
      <dgm:prSet presAssocID="{BD4FC882-A4DD-4A3A-9665-3BD280DB055E}" presName="rootConnector" presStyleLbl="node3" presStyleIdx="29" presStyleCnt="37"/>
      <dgm:spPr/>
    </dgm:pt>
    <dgm:pt modelId="{215301A5-93F8-4D6F-898D-390EF4120F61}" type="pres">
      <dgm:prSet presAssocID="{BD4FC882-A4DD-4A3A-9665-3BD280DB055E}" presName="hierChild4" presStyleCnt="0"/>
      <dgm:spPr/>
    </dgm:pt>
    <dgm:pt modelId="{DE44EBC6-6F97-4E97-BF0B-8063A56670ED}" type="pres">
      <dgm:prSet presAssocID="{BD4FC882-A4DD-4A3A-9665-3BD280DB055E}" presName="hierChild5" presStyleCnt="0"/>
      <dgm:spPr/>
    </dgm:pt>
    <dgm:pt modelId="{4982CC62-158D-4855-A22D-8483BB727345}" type="pres">
      <dgm:prSet presAssocID="{B2A021AF-973E-4C83-A065-13ABD3DDC23A}" presName="Name37" presStyleLbl="parChTrans1D3" presStyleIdx="30" presStyleCnt="37"/>
      <dgm:spPr/>
    </dgm:pt>
    <dgm:pt modelId="{7E525B65-F55E-4A3F-93C1-9DDDEA4267F4}" type="pres">
      <dgm:prSet presAssocID="{B372C83E-4EF2-4CBB-AE7F-58A8CF607ED1}" presName="hierRoot2" presStyleCnt="0">
        <dgm:presLayoutVars>
          <dgm:hierBranch val="init"/>
        </dgm:presLayoutVars>
      </dgm:prSet>
      <dgm:spPr/>
    </dgm:pt>
    <dgm:pt modelId="{5485D030-EE52-4325-B0AE-EBACE5E0F616}" type="pres">
      <dgm:prSet presAssocID="{B372C83E-4EF2-4CBB-AE7F-58A8CF607ED1}" presName="rootComposite" presStyleCnt="0"/>
      <dgm:spPr/>
    </dgm:pt>
    <dgm:pt modelId="{0CB28234-5086-4AA4-A6FB-4F8754B0E461}" type="pres">
      <dgm:prSet presAssocID="{B372C83E-4EF2-4CBB-AE7F-58A8CF607ED1}" presName="rootText" presStyleLbl="node3" presStyleIdx="30" presStyleCnt="37">
        <dgm:presLayoutVars>
          <dgm:chPref val="3"/>
        </dgm:presLayoutVars>
      </dgm:prSet>
      <dgm:spPr/>
    </dgm:pt>
    <dgm:pt modelId="{4BAAEFED-5939-487E-BB6E-45867B47BA9F}" type="pres">
      <dgm:prSet presAssocID="{B372C83E-4EF2-4CBB-AE7F-58A8CF607ED1}" presName="rootConnector" presStyleLbl="node3" presStyleIdx="30" presStyleCnt="37"/>
      <dgm:spPr/>
    </dgm:pt>
    <dgm:pt modelId="{81006D81-2F91-41BF-A1F6-EEB950296CE8}" type="pres">
      <dgm:prSet presAssocID="{B372C83E-4EF2-4CBB-AE7F-58A8CF607ED1}" presName="hierChild4" presStyleCnt="0"/>
      <dgm:spPr/>
    </dgm:pt>
    <dgm:pt modelId="{925B1AF3-B9ED-45C6-BEA4-E2745FBF8E10}" type="pres">
      <dgm:prSet presAssocID="{B372C83E-4EF2-4CBB-AE7F-58A8CF607ED1}" presName="hierChild5" presStyleCnt="0"/>
      <dgm:spPr/>
    </dgm:pt>
    <dgm:pt modelId="{DED4E9AF-A8C5-4CB4-BB6A-11CB23EE5008}" type="pres">
      <dgm:prSet presAssocID="{415B12C5-8D56-4353-9ED3-F382452B1ECF}" presName="Name37" presStyleLbl="parChTrans1D3" presStyleIdx="31" presStyleCnt="37"/>
      <dgm:spPr/>
    </dgm:pt>
    <dgm:pt modelId="{2E33A04E-BCF7-40D9-9526-8F63A02318D8}" type="pres">
      <dgm:prSet presAssocID="{CA292E85-6AA0-45C4-AC74-6D053DC13E13}" presName="hierRoot2" presStyleCnt="0">
        <dgm:presLayoutVars>
          <dgm:hierBranch val="init"/>
        </dgm:presLayoutVars>
      </dgm:prSet>
      <dgm:spPr/>
    </dgm:pt>
    <dgm:pt modelId="{21DFE3AA-2C2A-476B-8A46-E79475FCD4F9}" type="pres">
      <dgm:prSet presAssocID="{CA292E85-6AA0-45C4-AC74-6D053DC13E13}" presName="rootComposite" presStyleCnt="0"/>
      <dgm:spPr/>
    </dgm:pt>
    <dgm:pt modelId="{BCBF307B-C21C-4DBB-8F2E-752642B3B25D}" type="pres">
      <dgm:prSet presAssocID="{CA292E85-6AA0-45C4-AC74-6D053DC13E13}" presName="rootText" presStyleLbl="node3" presStyleIdx="31" presStyleCnt="37">
        <dgm:presLayoutVars>
          <dgm:chPref val="3"/>
        </dgm:presLayoutVars>
      </dgm:prSet>
      <dgm:spPr/>
    </dgm:pt>
    <dgm:pt modelId="{13626C6E-DEC7-4AA5-AFCC-5522F2293A80}" type="pres">
      <dgm:prSet presAssocID="{CA292E85-6AA0-45C4-AC74-6D053DC13E13}" presName="rootConnector" presStyleLbl="node3" presStyleIdx="31" presStyleCnt="37"/>
      <dgm:spPr/>
    </dgm:pt>
    <dgm:pt modelId="{C3552FA5-234C-465F-9218-C4D69B2BBCF7}" type="pres">
      <dgm:prSet presAssocID="{CA292E85-6AA0-45C4-AC74-6D053DC13E13}" presName="hierChild4" presStyleCnt="0"/>
      <dgm:spPr/>
    </dgm:pt>
    <dgm:pt modelId="{F5B079A7-0694-4671-AE0E-05F393879980}" type="pres">
      <dgm:prSet presAssocID="{CA292E85-6AA0-45C4-AC74-6D053DC13E13}" presName="hierChild5" presStyleCnt="0"/>
      <dgm:spPr/>
    </dgm:pt>
    <dgm:pt modelId="{BBBB0EDA-7FE9-4251-8C58-E687B0E5B2DB}" type="pres">
      <dgm:prSet presAssocID="{4DE72DAF-80C3-4709-A42C-6C425DBAAC67}" presName="hierChild5" presStyleCnt="0"/>
      <dgm:spPr/>
    </dgm:pt>
    <dgm:pt modelId="{6D98E36D-0E73-406B-842D-48D8840A37AF}" type="pres">
      <dgm:prSet presAssocID="{FDDCDF97-9FBF-469E-B440-70427588B6CF}" presName="Name37" presStyleLbl="parChTrans1D2" presStyleIdx="5" presStyleCnt="8"/>
      <dgm:spPr/>
    </dgm:pt>
    <dgm:pt modelId="{34150C27-1521-414B-8B35-BEEC0ECEA0DB}" type="pres">
      <dgm:prSet presAssocID="{9029D069-AEC0-4FE2-B7DF-BF50F5A32E4A}" presName="hierRoot2" presStyleCnt="0">
        <dgm:presLayoutVars>
          <dgm:hierBranch val="init"/>
        </dgm:presLayoutVars>
      </dgm:prSet>
      <dgm:spPr/>
    </dgm:pt>
    <dgm:pt modelId="{FFE360E3-9547-45BE-B1B8-3C4C77404BF7}" type="pres">
      <dgm:prSet presAssocID="{9029D069-AEC0-4FE2-B7DF-BF50F5A32E4A}" presName="rootComposite" presStyleCnt="0"/>
      <dgm:spPr/>
    </dgm:pt>
    <dgm:pt modelId="{BC42652F-25BC-4B62-94AA-70F8190B5ECF}" type="pres">
      <dgm:prSet presAssocID="{9029D069-AEC0-4FE2-B7DF-BF50F5A32E4A}" presName="rootText" presStyleLbl="node2" presStyleIdx="5" presStyleCnt="8">
        <dgm:presLayoutVars>
          <dgm:chPref val="3"/>
        </dgm:presLayoutVars>
      </dgm:prSet>
      <dgm:spPr/>
    </dgm:pt>
    <dgm:pt modelId="{A04E3921-449E-4198-8DD8-5DCEA35B2158}" type="pres">
      <dgm:prSet presAssocID="{9029D069-AEC0-4FE2-B7DF-BF50F5A32E4A}" presName="rootConnector" presStyleLbl="node2" presStyleIdx="5" presStyleCnt="8"/>
      <dgm:spPr/>
    </dgm:pt>
    <dgm:pt modelId="{3B387AC6-541A-484C-8294-442B97AE9997}" type="pres">
      <dgm:prSet presAssocID="{9029D069-AEC0-4FE2-B7DF-BF50F5A32E4A}" presName="hierChild4" presStyleCnt="0"/>
      <dgm:spPr/>
    </dgm:pt>
    <dgm:pt modelId="{B33B6BBB-D919-42E1-AD07-AFF078258EEC}" type="pres">
      <dgm:prSet presAssocID="{CC5B1996-EEC9-44F6-8498-4DEBE17FD699}" presName="Name37" presStyleLbl="parChTrans1D3" presStyleIdx="32" presStyleCnt="37"/>
      <dgm:spPr/>
    </dgm:pt>
    <dgm:pt modelId="{D6E6D5A7-372E-4735-8467-47A4964D9C51}" type="pres">
      <dgm:prSet presAssocID="{7D6C9889-AD9A-432A-89E0-B3CD8A91B8D4}" presName="hierRoot2" presStyleCnt="0">
        <dgm:presLayoutVars>
          <dgm:hierBranch val="init"/>
        </dgm:presLayoutVars>
      </dgm:prSet>
      <dgm:spPr/>
    </dgm:pt>
    <dgm:pt modelId="{958D26D4-847C-4666-A829-3454CA316154}" type="pres">
      <dgm:prSet presAssocID="{7D6C9889-AD9A-432A-89E0-B3CD8A91B8D4}" presName="rootComposite" presStyleCnt="0"/>
      <dgm:spPr/>
    </dgm:pt>
    <dgm:pt modelId="{EC0B7BEE-6E47-453A-AC30-360984243525}" type="pres">
      <dgm:prSet presAssocID="{7D6C9889-AD9A-432A-89E0-B3CD8A91B8D4}" presName="rootText" presStyleLbl="node3" presStyleIdx="32" presStyleCnt="37">
        <dgm:presLayoutVars>
          <dgm:chPref val="3"/>
        </dgm:presLayoutVars>
      </dgm:prSet>
      <dgm:spPr/>
    </dgm:pt>
    <dgm:pt modelId="{09EC6CFB-703C-4B71-8535-353D18058582}" type="pres">
      <dgm:prSet presAssocID="{7D6C9889-AD9A-432A-89E0-B3CD8A91B8D4}" presName="rootConnector" presStyleLbl="node3" presStyleIdx="32" presStyleCnt="37"/>
      <dgm:spPr/>
    </dgm:pt>
    <dgm:pt modelId="{37655876-A262-4B3E-BB7B-79B6993E94B6}" type="pres">
      <dgm:prSet presAssocID="{7D6C9889-AD9A-432A-89E0-B3CD8A91B8D4}" presName="hierChild4" presStyleCnt="0"/>
      <dgm:spPr/>
    </dgm:pt>
    <dgm:pt modelId="{FBA6110F-1EEF-4EFE-8470-CA2563E62551}" type="pres">
      <dgm:prSet presAssocID="{7D6C9889-AD9A-432A-89E0-B3CD8A91B8D4}" presName="hierChild5" presStyleCnt="0"/>
      <dgm:spPr/>
    </dgm:pt>
    <dgm:pt modelId="{548BFB23-C118-4F73-8CA6-958D6B5B7104}" type="pres">
      <dgm:prSet presAssocID="{0C0BB843-341B-4077-AC60-7B7C5409D678}" presName="Name37" presStyleLbl="parChTrans1D3" presStyleIdx="33" presStyleCnt="37"/>
      <dgm:spPr/>
    </dgm:pt>
    <dgm:pt modelId="{0CBDC676-4F02-449F-A2A4-D89857177221}" type="pres">
      <dgm:prSet presAssocID="{07404842-E69F-443D-91D0-EBFDCF3059FA}" presName="hierRoot2" presStyleCnt="0">
        <dgm:presLayoutVars>
          <dgm:hierBranch val="init"/>
        </dgm:presLayoutVars>
      </dgm:prSet>
      <dgm:spPr/>
    </dgm:pt>
    <dgm:pt modelId="{C3E5C577-A677-4C9B-A0A0-8BE14B4650A1}" type="pres">
      <dgm:prSet presAssocID="{07404842-E69F-443D-91D0-EBFDCF3059FA}" presName="rootComposite" presStyleCnt="0"/>
      <dgm:spPr/>
    </dgm:pt>
    <dgm:pt modelId="{004B763B-2A92-42A3-9583-D26C3EF02BA9}" type="pres">
      <dgm:prSet presAssocID="{07404842-E69F-443D-91D0-EBFDCF3059FA}" presName="rootText" presStyleLbl="node3" presStyleIdx="33" presStyleCnt="37">
        <dgm:presLayoutVars>
          <dgm:chPref val="3"/>
        </dgm:presLayoutVars>
      </dgm:prSet>
      <dgm:spPr/>
    </dgm:pt>
    <dgm:pt modelId="{95577890-DC99-465C-81A6-8B59F7C108C9}" type="pres">
      <dgm:prSet presAssocID="{07404842-E69F-443D-91D0-EBFDCF3059FA}" presName="rootConnector" presStyleLbl="node3" presStyleIdx="33" presStyleCnt="37"/>
      <dgm:spPr/>
    </dgm:pt>
    <dgm:pt modelId="{E3ADBEB3-F1FB-40FA-BF07-3F37228C77FE}" type="pres">
      <dgm:prSet presAssocID="{07404842-E69F-443D-91D0-EBFDCF3059FA}" presName="hierChild4" presStyleCnt="0"/>
      <dgm:spPr/>
    </dgm:pt>
    <dgm:pt modelId="{A23F219E-1B2E-4F38-9C96-B75BCCCA9362}" type="pres">
      <dgm:prSet presAssocID="{07404842-E69F-443D-91D0-EBFDCF3059FA}" presName="hierChild5" presStyleCnt="0"/>
      <dgm:spPr/>
    </dgm:pt>
    <dgm:pt modelId="{7154154A-4125-441E-A3C3-BE87A8A5278D}" type="pres">
      <dgm:prSet presAssocID="{7A0FBFB2-1789-439B-9715-8A2B5FE3DA43}" presName="Name37" presStyleLbl="parChTrans1D3" presStyleIdx="34" presStyleCnt="37"/>
      <dgm:spPr/>
    </dgm:pt>
    <dgm:pt modelId="{0A955EDE-0F9A-434D-8AB3-0C71E7DA1B59}" type="pres">
      <dgm:prSet presAssocID="{51ECB55E-BBAC-4471-9A54-5D98AF94C3A5}" presName="hierRoot2" presStyleCnt="0">
        <dgm:presLayoutVars>
          <dgm:hierBranch val="init"/>
        </dgm:presLayoutVars>
      </dgm:prSet>
      <dgm:spPr/>
    </dgm:pt>
    <dgm:pt modelId="{8067BD4B-C74C-4736-B373-1C1E8546ED2D}" type="pres">
      <dgm:prSet presAssocID="{51ECB55E-BBAC-4471-9A54-5D98AF94C3A5}" presName="rootComposite" presStyleCnt="0"/>
      <dgm:spPr/>
    </dgm:pt>
    <dgm:pt modelId="{B9DEDE45-14AD-4563-88CB-7B0D6A070598}" type="pres">
      <dgm:prSet presAssocID="{51ECB55E-BBAC-4471-9A54-5D98AF94C3A5}" presName="rootText" presStyleLbl="node3" presStyleIdx="34" presStyleCnt="37">
        <dgm:presLayoutVars>
          <dgm:chPref val="3"/>
        </dgm:presLayoutVars>
      </dgm:prSet>
      <dgm:spPr/>
    </dgm:pt>
    <dgm:pt modelId="{0306E8E1-1052-4186-BD31-0CCC4F6BA0A3}" type="pres">
      <dgm:prSet presAssocID="{51ECB55E-BBAC-4471-9A54-5D98AF94C3A5}" presName="rootConnector" presStyleLbl="node3" presStyleIdx="34" presStyleCnt="37"/>
      <dgm:spPr/>
    </dgm:pt>
    <dgm:pt modelId="{3F4FBDD9-54A4-4363-B764-8F2D9BA284AC}" type="pres">
      <dgm:prSet presAssocID="{51ECB55E-BBAC-4471-9A54-5D98AF94C3A5}" presName="hierChild4" presStyleCnt="0"/>
      <dgm:spPr/>
    </dgm:pt>
    <dgm:pt modelId="{002FC031-4BFC-484F-8B31-F51E7340C51C}" type="pres">
      <dgm:prSet presAssocID="{51ECB55E-BBAC-4471-9A54-5D98AF94C3A5}" presName="hierChild5" presStyleCnt="0"/>
      <dgm:spPr/>
    </dgm:pt>
    <dgm:pt modelId="{3821EF9E-B015-4976-A7A3-C26263BCD773}" type="pres">
      <dgm:prSet presAssocID="{AD81A9D5-FF26-4D26-8FA4-F990D901421C}" presName="Name37" presStyleLbl="parChTrans1D3" presStyleIdx="35" presStyleCnt="37"/>
      <dgm:spPr/>
    </dgm:pt>
    <dgm:pt modelId="{B0521C16-5B45-44A8-800B-6486B611BCF8}" type="pres">
      <dgm:prSet presAssocID="{3A7AA5EC-1864-4C2D-8494-C186D80E6A3E}" presName="hierRoot2" presStyleCnt="0">
        <dgm:presLayoutVars>
          <dgm:hierBranch val="l"/>
        </dgm:presLayoutVars>
      </dgm:prSet>
      <dgm:spPr/>
    </dgm:pt>
    <dgm:pt modelId="{A37F70FF-6716-48DB-BC4C-0BA977BC22D2}" type="pres">
      <dgm:prSet presAssocID="{3A7AA5EC-1864-4C2D-8494-C186D80E6A3E}" presName="rootComposite" presStyleCnt="0"/>
      <dgm:spPr/>
    </dgm:pt>
    <dgm:pt modelId="{5C863727-5B15-4BC2-A730-5BCA6549A943}" type="pres">
      <dgm:prSet presAssocID="{3A7AA5EC-1864-4C2D-8494-C186D80E6A3E}" presName="rootText" presStyleLbl="node3" presStyleIdx="35" presStyleCnt="37">
        <dgm:presLayoutVars>
          <dgm:chPref val="3"/>
        </dgm:presLayoutVars>
      </dgm:prSet>
      <dgm:spPr/>
    </dgm:pt>
    <dgm:pt modelId="{FEE142A3-78D3-4556-9125-E4EC5479676D}" type="pres">
      <dgm:prSet presAssocID="{3A7AA5EC-1864-4C2D-8494-C186D80E6A3E}" presName="rootConnector" presStyleLbl="node3" presStyleIdx="35" presStyleCnt="37"/>
      <dgm:spPr/>
    </dgm:pt>
    <dgm:pt modelId="{226F7EEF-D8F7-4375-93F8-AF67C92455A0}" type="pres">
      <dgm:prSet presAssocID="{3A7AA5EC-1864-4C2D-8494-C186D80E6A3E}" presName="hierChild4" presStyleCnt="0"/>
      <dgm:spPr/>
    </dgm:pt>
    <dgm:pt modelId="{FF220AC8-52E2-44F3-B901-71F3F0EFFCFC}" type="pres">
      <dgm:prSet presAssocID="{3A7AA5EC-1864-4C2D-8494-C186D80E6A3E}" presName="hierChild5" presStyleCnt="0"/>
      <dgm:spPr/>
    </dgm:pt>
    <dgm:pt modelId="{64E41716-ECC1-4D56-B0D8-E3C2ACCE5B9E}" type="pres">
      <dgm:prSet presAssocID="{3BE2D754-1E39-4B5B-B82F-D46771212CC1}" presName="Name37" presStyleLbl="parChTrans1D3" presStyleIdx="36" presStyleCnt="37"/>
      <dgm:spPr/>
    </dgm:pt>
    <dgm:pt modelId="{98B9ED93-3A4F-492D-B665-2F0C1C0CAA23}" type="pres">
      <dgm:prSet presAssocID="{80F2FCC4-5405-447F-983E-B1588241E362}" presName="hierRoot2" presStyleCnt="0">
        <dgm:presLayoutVars>
          <dgm:hierBranch val="init"/>
        </dgm:presLayoutVars>
      </dgm:prSet>
      <dgm:spPr/>
    </dgm:pt>
    <dgm:pt modelId="{5E83EEA0-899F-4348-9CC7-CCB983189C30}" type="pres">
      <dgm:prSet presAssocID="{80F2FCC4-5405-447F-983E-B1588241E362}" presName="rootComposite" presStyleCnt="0"/>
      <dgm:spPr/>
    </dgm:pt>
    <dgm:pt modelId="{A1F956AF-AF0A-48B8-993C-7ECF4FE78AE1}" type="pres">
      <dgm:prSet presAssocID="{80F2FCC4-5405-447F-983E-B1588241E362}" presName="rootText" presStyleLbl="node3" presStyleIdx="36" presStyleCnt="37">
        <dgm:presLayoutVars>
          <dgm:chPref val="3"/>
        </dgm:presLayoutVars>
      </dgm:prSet>
      <dgm:spPr/>
    </dgm:pt>
    <dgm:pt modelId="{4FCE7241-275A-419E-B398-DB3A09FD341D}" type="pres">
      <dgm:prSet presAssocID="{80F2FCC4-5405-447F-983E-B1588241E362}" presName="rootConnector" presStyleLbl="node3" presStyleIdx="36" presStyleCnt="37"/>
      <dgm:spPr/>
    </dgm:pt>
    <dgm:pt modelId="{3ECC94E5-D580-4772-BAA5-EAAFB301F938}" type="pres">
      <dgm:prSet presAssocID="{80F2FCC4-5405-447F-983E-B1588241E362}" presName="hierChild4" presStyleCnt="0"/>
      <dgm:spPr/>
    </dgm:pt>
    <dgm:pt modelId="{3796EE49-F979-4EAA-9E2F-660ED9BF4D03}" type="pres">
      <dgm:prSet presAssocID="{80F2FCC4-5405-447F-983E-B1588241E362}" presName="hierChild5" presStyleCnt="0"/>
      <dgm:spPr/>
    </dgm:pt>
    <dgm:pt modelId="{E4D1AA04-96BE-4C7F-87DF-AD0B036655F2}" type="pres">
      <dgm:prSet presAssocID="{9029D069-AEC0-4FE2-B7DF-BF50F5A32E4A}" presName="hierChild5" presStyleCnt="0"/>
      <dgm:spPr/>
    </dgm:pt>
    <dgm:pt modelId="{4A8A7734-128F-4A82-97A7-B6A76168CB90}" type="pres">
      <dgm:prSet presAssocID="{52B000EE-AC4C-4A1C-8B77-4220EBD5FEBE}" presName="Name37" presStyleLbl="parChTrans1D2" presStyleIdx="6" presStyleCnt="8"/>
      <dgm:spPr/>
    </dgm:pt>
    <dgm:pt modelId="{D7FF9236-0F7A-4874-89DC-A5F25F2BA214}" type="pres">
      <dgm:prSet presAssocID="{A5B97CCD-102C-4AC2-935D-F2DA83440559}" presName="hierRoot2" presStyleCnt="0">
        <dgm:presLayoutVars>
          <dgm:hierBranch val="init"/>
        </dgm:presLayoutVars>
      </dgm:prSet>
      <dgm:spPr/>
    </dgm:pt>
    <dgm:pt modelId="{85AB7F32-377D-4C43-8A1A-AC2800F9C5BD}" type="pres">
      <dgm:prSet presAssocID="{A5B97CCD-102C-4AC2-935D-F2DA83440559}" presName="rootComposite" presStyleCnt="0"/>
      <dgm:spPr/>
    </dgm:pt>
    <dgm:pt modelId="{F43972FB-4FF8-4893-AAC5-C004B8EB9F67}" type="pres">
      <dgm:prSet presAssocID="{A5B97CCD-102C-4AC2-935D-F2DA83440559}" presName="rootText" presStyleLbl="node2" presStyleIdx="6" presStyleCnt="8">
        <dgm:presLayoutVars>
          <dgm:chPref val="3"/>
        </dgm:presLayoutVars>
      </dgm:prSet>
      <dgm:spPr/>
    </dgm:pt>
    <dgm:pt modelId="{B1DD582A-916B-479F-AF58-285891870004}" type="pres">
      <dgm:prSet presAssocID="{A5B97CCD-102C-4AC2-935D-F2DA83440559}" presName="rootConnector" presStyleLbl="node2" presStyleIdx="6" presStyleCnt="8"/>
      <dgm:spPr/>
    </dgm:pt>
    <dgm:pt modelId="{01952295-DD58-44CD-88AA-59663020402B}" type="pres">
      <dgm:prSet presAssocID="{A5B97CCD-102C-4AC2-935D-F2DA83440559}" presName="hierChild4" presStyleCnt="0"/>
      <dgm:spPr/>
    </dgm:pt>
    <dgm:pt modelId="{2D3D8365-AFCC-4497-B496-A5BF357A011B}" type="pres">
      <dgm:prSet presAssocID="{A5B97CCD-102C-4AC2-935D-F2DA83440559}" presName="hierChild5" presStyleCnt="0"/>
      <dgm:spPr/>
    </dgm:pt>
    <dgm:pt modelId="{20819C3C-3219-42A5-AC37-EE68492AC14F}" type="pres">
      <dgm:prSet presAssocID="{80D68777-2887-4BA5-942D-3CE334BB173A}" presName="Name37" presStyleLbl="parChTrans1D2" presStyleIdx="7" presStyleCnt="8"/>
      <dgm:spPr/>
    </dgm:pt>
    <dgm:pt modelId="{CE50B61B-5E89-4A07-8FBF-22D4AA933E5A}" type="pres">
      <dgm:prSet presAssocID="{B1A8C7F7-C756-460C-B7F1-CF96157A35A2}" presName="hierRoot2" presStyleCnt="0">
        <dgm:presLayoutVars>
          <dgm:hierBranch val="init"/>
        </dgm:presLayoutVars>
      </dgm:prSet>
      <dgm:spPr/>
    </dgm:pt>
    <dgm:pt modelId="{255DEB48-79CF-4EFC-ACD5-78F86E5409D2}" type="pres">
      <dgm:prSet presAssocID="{B1A8C7F7-C756-460C-B7F1-CF96157A35A2}" presName="rootComposite" presStyleCnt="0"/>
      <dgm:spPr/>
    </dgm:pt>
    <dgm:pt modelId="{D3725C45-9C0C-474A-B976-BDEEF4151F76}" type="pres">
      <dgm:prSet presAssocID="{B1A8C7F7-C756-460C-B7F1-CF96157A35A2}" presName="rootText" presStyleLbl="node2" presStyleIdx="7" presStyleCnt="8">
        <dgm:presLayoutVars>
          <dgm:chPref val="3"/>
        </dgm:presLayoutVars>
      </dgm:prSet>
      <dgm:spPr/>
    </dgm:pt>
    <dgm:pt modelId="{6191E62F-FEBD-44C3-A0BE-1D29781511CB}" type="pres">
      <dgm:prSet presAssocID="{B1A8C7F7-C756-460C-B7F1-CF96157A35A2}" presName="rootConnector" presStyleLbl="node2" presStyleIdx="7" presStyleCnt="8"/>
      <dgm:spPr/>
    </dgm:pt>
    <dgm:pt modelId="{9B734C63-B137-4907-A73A-BBF33E301B56}" type="pres">
      <dgm:prSet presAssocID="{B1A8C7F7-C756-460C-B7F1-CF96157A35A2}" presName="hierChild4" presStyleCnt="0"/>
      <dgm:spPr/>
    </dgm:pt>
    <dgm:pt modelId="{38EA3D32-0D8F-4325-B2F2-7A4DEAF37431}" type="pres">
      <dgm:prSet presAssocID="{B1A8C7F7-C756-460C-B7F1-CF96157A35A2}" presName="hierChild5" presStyleCnt="0"/>
      <dgm:spPr/>
    </dgm:pt>
    <dgm:pt modelId="{D82F3557-1FD2-41F2-99BB-4F10FF74CC2D}" type="pres">
      <dgm:prSet presAssocID="{275D2755-AFB3-4EAF-8667-190ED3554305}" presName="hierChild3" presStyleCnt="0"/>
      <dgm:spPr/>
    </dgm:pt>
  </dgm:ptLst>
  <dgm:cxnLst>
    <dgm:cxn modelId="{ADBA2501-C257-4FAC-AD50-878046A62267}" type="presOf" srcId="{65C6B914-A243-4B35-80F7-AB3DC5BD32AE}" destId="{6CFF9B98-15F6-48D6-9599-C7243585A7EA}" srcOrd="1" destOrd="0" presId="urn:microsoft.com/office/officeart/2005/8/layout/orgChart1"/>
    <dgm:cxn modelId="{F33F3B01-781F-4E6A-892C-B413643CBBE5}" type="presOf" srcId="{3BE2D754-1E39-4B5B-B82F-D46771212CC1}" destId="{64E41716-ECC1-4D56-B0D8-E3C2ACCE5B9E}" srcOrd="0" destOrd="0" presId="urn:microsoft.com/office/officeart/2005/8/layout/orgChart1"/>
    <dgm:cxn modelId="{A3978507-313B-4416-BC12-C6D14106469A}" type="presOf" srcId="{80D68777-2887-4BA5-942D-3CE334BB173A}" destId="{20819C3C-3219-42A5-AC37-EE68492AC14F}" srcOrd="0" destOrd="0" presId="urn:microsoft.com/office/officeart/2005/8/layout/orgChart1"/>
    <dgm:cxn modelId="{8BC3D008-E28E-462F-BA02-E0729DED2C65}" type="presOf" srcId="{EA6B4145-288E-4145-97BF-ECA50CDAA0CB}" destId="{DB6DFD31-8ED0-45B2-A94F-FF8C1EAC10B0}" srcOrd="1" destOrd="0" presId="urn:microsoft.com/office/officeart/2005/8/layout/orgChart1"/>
    <dgm:cxn modelId="{817E1F09-34E6-4D8F-B532-408F1AFDE697}" type="presOf" srcId="{80F2FCC4-5405-447F-983E-B1588241E362}" destId="{A1F956AF-AF0A-48B8-993C-7ECF4FE78AE1}" srcOrd="0" destOrd="0" presId="urn:microsoft.com/office/officeart/2005/8/layout/orgChart1"/>
    <dgm:cxn modelId="{182C5809-B874-4CEF-8822-241421FA2AF8}" type="presOf" srcId="{5F865CEB-B2EB-4D53-8DE0-0B6F001FAD13}" destId="{5BBC1AFF-88F9-4A8D-8FB0-625A9111CC75}" srcOrd="1" destOrd="0" presId="urn:microsoft.com/office/officeart/2005/8/layout/orgChart1"/>
    <dgm:cxn modelId="{AB47AF09-6022-4298-B4E1-2CCA2D804EB2}" type="presOf" srcId="{5943CE6D-CD85-4821-BC57-C1A6AB08FDBD}" destId="{FFF4A685-614C-4C1A-A450-9A23A762802C}" srcOrd="0" destOrd="0" presId="urn:microsoft.com/office/officeart/2005/8/layout/orgChart1"/>
    <dgm:cxn modelId="{EBE2130E-CF3A-4A95-941C-E1DF3D2B9453}" type="presOf" srcId="{BE53619F-C74E-4ACF-9BD7-F70BA7355090}" destId="{625B5E24-9DF5-4005-A495-30F8253DDEE5}" srcOrd="0" destOrd="0" presId="urn:microsoft.com/office/officeart/2005/8/layout/orgChart1"/>
    <dgm:cxn modelId="{EE261513-452C-403F-AF7B-85F79657063C}" type="presOf" srcId="{1333AFEE-8F07-4513-80B1-F79895614607}" destId="{9638C91A-6F99-400C-AF26-D7CF687A424A}" srcOrd="1" destOrd="0" presId="urn:microsoft.com/office/officeart/2005/8/layout/orgChart1"/>
    <dgm:cxn modelId="{DFE94213-A0E7-434C-BBD0-A14DF4510796}" srcId="{4DE72DAF-80C3-4709-A42C-6C425DBAAC67}" destId="{BD4FC882-A4DD-4A3A-9665-3BD280DB055E}" srcOrd="8" destOrd="0" parTransId="{A636DEBE-C1CF-48B1-90FD-18EE95A1A620}" sibTransId="{C41EE588-1146-42EE-A9DA-99AF1C3C92FA}"/>
    <dgm:cxn modelId="{CE762C15-F39F-4ED2-941E-0CCED55BCA13}" type="presOf" srcId="{4DE72DAF-80C3-4709-A42C-6C425DBAAC67}" destId="{72CE9576-3485-41D6-B016-AEAFEC45C168}" srcOrd="0" destOrd="0" presId="urn:microsoft.com/office/officeart/2005/8/layout/orgChart1"/>
    <dgm:cxn modelId="{65532F16-5365-4490-BD20-357EE7C7D604}" srcId="{9029D069-AEC0-4FE2-B7DF-BF50F5A32E4A}" destId="{07404842-E69F-443D-91D0-EBFDCF3059FA}" srcOrd="1" destOrd="0" parTransId="{0C0BB843-341B-4077-AC60-7B7C5409D678}" sibTransId="{9AF85D0D-99C6-4C7A-971F-34FD52931436}"/>
    <dgm:cxn modelId="{73B7F216-E06B-4692-8E9C-6AFA2F7820B3}" type="presOf" srcId="{80F2FCC4-5405-447F-983E-B1588241E362}" destId="{4FCE7241-275A-419E-B398-DB3A09FD341D}" srcOrd="1" destOrd="0" presId="urn:microsoft.com/office/officeart/2005/8/layout/orgChart1"/>
    <dgm:cxn modelId="{AFBC9117-225A-48C7-AE4A-4CA49BE4EFA3}" type="presOf" srcId="{CA292E85-6AA0-45C4-AC74-6D053DC13E13}" destId="{BCBF307B-C21C-4DBB-8F2E-752642B3B25D}" srcOrd="0" destOrd="0" presId="urn:microsoft.com/office/officeart/2005/8/layout/orgChart1"/>
    <dgm:cxn modelId="{CCF2CE17-E4A4-41D5-A6B4-88F58EFEBC70}" type="presOf" srcId="{CEE7FB97-5B7A-4037-B8AB-B31E70E51310}" destId="{F749C274-C20E-4C56-8643-81FAF1228ABA}" srcOrd="0" destOrd="0" presId="urn:microsoft.com/office/officeart/2005/8/layout/orgChart1"/>
    <dgm:cxn modelId="{146E7119-26F0-4CFF-BB1C-8B1D89128373}" type="presOf" srcId="{3A7AA5EC-1864-4C2D-8494-C186D80E6A3E}" destId="{FEE142A3-78D3-4556-9125-E4EC5479676D}" srcOrd="1" destOrd="0" presId="urn:microsoft.com/office/officeart/2005/8/layout/orgChart1"/>
    <dgm:cxn modelId="{D9417A19-FE66-4F05-9914-A8EA3103FD9E}" type="presOf" srcId="{A5B97CCD-102C-4AC2-935D-F2DA83440559}" destId="{B1DD582A-916B-479F-AF58-285891870004}" srcOrd="1" destOrd="0" presId="urn:microsoft.com/office/officeart/2005/8/layout/orgChart1"/>
    <dgm:cxn modelId="{7313731D-F26B-431C-BAE9-04C30A386882}" type="presOf" srcId="{54123D53-2FB3-40DE-AC69-96B72C2B8728}" destId="{DEE4ADA9-6824-49AE-BB2C-2CA1D49EF755}" srcOrd="0" destOrd="0" presId="urn:microsoft.com/office/officeart/2005/8/layout/orgChart1"/>
    <dgm:cxn modelId="{CFE6A41D-5BDE-4201-A506-A00BF588EAE5}" srcId="{4DE72DAF-80C3-4709-A42C-6C425DBAAC67}" destId="{7B99805D-3C39-4795-8216-F93BFFA2D459}" srcOrd="7" destOrd="0" parTransId="{AC8A3907-2691-43AB-A0C0-1FB7DE20810E}" sibTransId="{B79072AF-3B5E-467F-A949-674C6DF3EB48}"/>
    <dgm:cxn modelId="{9F43111E-4CFB-4CEC-9EF8-43D2F049218E}" type="presOf" srcId="{E385FCE3-D751-42E7-9C0C-45CD14FC660C}" destId="{19AA5BE0-6440-4746-8832-09CB958D92DF}" srcOrd="0" destOrd="0" presId="urn:microsoft.com/office/officeart/2005/8/layout/orgChart1"/>
    <dgm:cxn modelId="{8C73F41E-AE62-41C7-8475-489F1F714D54}" srcId="{9454DE0B-A7C5-41F1-90C2-FC8050D84371}" destId="{CD98EBD2-7A6B-43F3-A890-4BDE47432228}" srcOrd="0" destOrd="0" parTransId="{45C1B045-005C-4311-A1C3-7B90F72B1EE4}" sibTransId="{DACC4909-D044-4B4C-AD8F-C5D215320DAD}"/>
    <dgm:cxn modelId="{B03AE61F-4B35-459A-84E3-7F4A0BE8F1F2}" type="presOf" srcId="{CEE7FB97-5B7A-4037-B8AB-B31E70E51310}" destId="{76A6DA95-33CE-4B86-BCEF-3E8BFE5F8C8C}" srcOrd="1" destOrd="0" presId="urn:microsoft.com/office/officeart/2005/8/layout/orgChart1"/>
    <dgm:cxn modelId="{AC879F20-D5C8-4DC0-8D5A-62752F952344}" type="presOf" srcId="{EF107CA2-3A5C-402C-A19E-EFE41EA76F2B}" destId="{C7D01E39-D438-4A03-8BC9-8245C628793F}" srcOrd="1" destOrd="0" presId="urn:microsoft.com/office/officeart/2005/8/layout/orgChart1"/>
    <dgm:cxn modelId="{127F3921-B6F5-4232-9696-AE277DB1CF15}" type="presOf" srcId="{8BAE89AD-628C-4BFF-8CB0-258B7A89EE17}" destId="{E2F5FA13-1CAB-42AE-8DED-ED1118BA7ED2}" srcOrd="1" destOrd="0" presId="urn:microsoft.com/office/officeart/2005/8/layout/orgChart1"/>
    <dgm:cxn modelId="{3DEEED22-D5CD-43CD-9E50-222AD91D206D}" type="presOf" srcId="{CA292E85-6AA0-45C4-AC74-6D053DC13E13}" destId="{13626C6E-DEC7-4AA5-AFCC-5522F2293A80}" srcOrd="1" destOrd="0" presId="urn:microsoft.com/office/officeart/2005/8/layout/orgChart1"/>
    <dgm:cxn modelId="{C6EA7F23-EFDC-4D9D-A26E-65D4691A03F8}" type="presOf" srcId="{2DBA0C76-000E-4ADD-AF0E-27EB6538586D}" destId="{2572BC47-9EBF-460E-887A-DA2D44C24B9D}" srcOrd="1" destOrd="0" presId="urn:microsoft.com/office/officeart/2005/8/layout/orgChart1"/>
    <dgm:cxn modelId="{D71F9224-C696-4A50-BD6D-83C4FE1AADF2}" type="presOf" srcId="{E9E04D74-221C-4089-A5F8-CCD69214090A}" destId="{7F68D7C4-A3B5-42BC-9E1D-AA5F77A5491E}" srcOrd="0" destOrd="0" presId="urn:microsoft.com/office/officeart/2005/8/layout/orgChart1"/>
    <dgm:cxn modelId="{E3029D26-14E1-4094-9E23-3FA2E26328AE}" type="presOf" srcId="{87410729-49F0-4D1D-99C5-4BAE5B976E83}" destId="{C7E0782B-F175-47B9-A280-09E5C1F5D874}" srcOrd="0" destOrd="0" presId="urn:microsoft.com/office/officeart/2005/8/layout/orgChart1"/>
    <dgm:cxn modelId="{CE64FC26-E3ED-4EDF-B93D-8379EA6A3C05}" type="presOf" srcId="{AD81A9D5-FF26-4D26-8FA4-F990D901421C}" destId="{3821EF9E-B015-4976-A7A3-C26263BCD773}" srcOrd="0" destOrd="0" presId="urn:microsoft.com/office/officeart/2005/8/layout/orgChart1"/>
    <dgm:cxn modelId="{A5507227-D9C6-4F3A-B717-2410890A47E0}" type="presOf" srcId="{A636DEBE-C1CF-48B1-90FD-18EE95A1A620}" destId="{9F3770C1-95F9-4EDB-BCEB-322B4EC773F6}" srcOrd="0" destOrd="0" presId="urn:microsoft.com/office/officeart/2005/8/layout/orgChart1"/>
    <dgm:cxn modelId="{59850628-B3C0-4F1D-B8A7-45E9111FFCB9}" type="presOf" srcId="{9E4A6D9C-7984-4824-AD57-3747FD4D5513}" destId="{282027A8-3E90-44F9-8A2B-4453A1C7A3CE}" srcOrd="0" destOrd="0" presId="urn:microsoft.com/office/officeart/2005/8/layout/orgChart1"/>
    <dgm:cxn modelId="{C87B5C2B-C032-4B6F-9A5A-34526D807872}" type="presOf" srcId="{B050F782-46FB-4CAC-BB0B-28D2F65F57F7}" destId="{0BFA7D93-9E4C-45AB-820E-8E2293D29D07}" srcOrd="1" destOrd="0" presId="urn:microsoft.com/office/officeart/2005/8/layout/orgChart1"/>
    <dgm:cxn modelId="{A739412B-FC05-4F28-B013-369AF13B3BEF}" srcId="{3C90CE6A-EAA0-42F1-BD1F-32CAD2C3D805}" destId="{E90E1F7E-0211-4419-B014-E3217A0086DA}" srcOrd="1" destOrd="0" parTransId="{5632572D-FDE6-4B7E-A473-B78B26126874}" sibTransId="{A39B5D69-7FB6-47D1-A85B-044097BE9C78}"/>
    <dgm:cxn modelId="{8D4C6B2B-BA45-4252-BEF6-BD50C808EB31}" type="presOf" srcId="{C05619D9-6300-4AEB-A3DF-DD2FC4D38813}" destId="{7C7EDA97-890E-438B-8693-45DB74A7BE27}" srcOrd="1" destOrd="0" presId="urn:microsoft.com/office/officeart/2005/8/layout/orgChart1"/>
    <dgm:cxn modelId="{17B6042C-D70F-4C86-833E-3FAC40CFF5AD}" type="presOf" srcId="{70EFCBE2-B6CC-494A-9B0E-17001C7A5B1C}" destId="{45DFA714-2A59-44E1-9355-96A7A0770B3C}" srcOrd="1" destOrd="0" presId="urn:microsoft.com/office/officeart/2005/8/layout/orgChart1"/>
    <dgm:cxn modelId="{D6AA932C-CA37-46EF-92B1-E3D07F88B01A}" type="presOf" srcId="{CEE3EB80-447F-429A-812E-549ED016F9F6}" destId="{942660A8-481C-44E5-BF2A-024AB741918C}" srcOrd="0" destOrd="0" presId="urn:microsoft.com/office/officeart/2005/8/layout/orgChart1"/>
    <dgm:cxn modelId="{081AB12C-9BAE-406C-94F7-65B43CA7E61F}" type="presOf" srcId="{0AE6CD57-0813-477F-9485-806A271EDABB}" destId="{C808DAF5-007B-424C-B8AF-8FE9C721018F}" srcOrd="0" destOrd="0" presId="urn:microsoft.com/office/officeart/2005/8/layout/orgChart1"/>
    <dgm:cxn modelId="{2B91322D-FA3E-4FB2-95AA-C91B5AB87064}" type="presOf" srcId="{1333AFEE-8F07-4513-80B1-F79895614607}" destId="{3A815C92-D8B5-4F9F-BFBB-C6857FDC1142}" srcOrd="0" destOrd="0" presId="urn:microsoft.com/office/officeart/2005/8/layout/orgChart1"/>
    <dgm:cxn modelId="{BCC4252E-968C-4863-A2F4-D459990F44D4}" type="presOf" srcId="{532F6F70-B5D5-4CA5-9FDD-E58A52A4ED94}" destId="{F089EFED-52E0-4F5E-868B-E23852CAB5D2}" srcOrd="1" destOrd="0" presId="urn:microsoft.com/office/officeart/2005/8/layout/orgChart1"/>
    <dgm:cxn modelId="{4D81BE2F-3BFF-43AE-BFEE-8B029EBC7B34}" type="presOf" srcId="{54123D53-2FB3-40DE-AC69-96B72C2B8728}" destId="{2AE1F57C-9EEB-4CC3-B4B0-85DDD13A3A87}" srcOrd="1" destOrd="0" presId="urn:microsoft.com/office/officeart/2005/8/layout/orgChart1"/>
    <dgm:cxn modelId="{75973D30-E480-4D72-BD5B-B79292414664}" type="presOf" srcId="{34461B88-B9AA-486B-8BA5-9FB00807B6AA}" destId="{0940B232-9888-487D-8F65-5A7C1DE63225}" srcOrd="1" destOrd="0" presId="urn:microsoft.com/office/officeart/2005/8/layout/orgChart1"/>
    <dgm:cxn modelId="{B2577E31-EB0D-4F04-B825-A225BF98A43D}" srcId="{4DE72DAF-80C3-4709-A42C-6C425DBAAC67}" destId="{8BAE89AD-628C-4BFF-8CB0-258B7A89EE17}" srcOrd="0" destOrd="0" parTransId="{B4CF74BE-58CF-4B68-8976-50DD5BFD8066}" sibTransId="{2ED062E8-6835-4B31-8646-2928C833A277}"/>
    <dgm:cxn modelId="{212D9D31-C318-48BF-B6B9-9BCC61528AFF}" srcId="{9029D069-AEC0-4FE2-B7DF-BF50F5A32E4A}" destId="{3A7AA5EC-1864-4C2D-8494-C186D80E6A3E}" srcOrd="3" destOrd="0" parTransId="{AD81A9D5-FF26-4D26-8FA4-F990D901421C}" sibTransId="{49D89456-F3CF-46FB-8AE8-AB86C3CAA12B}"/>
    <dgm:cxn modelId="{ECB0C932-7DBC-48D6-9357-5D6D92BBFA02}" type="presOf" srcId="{3C90CE6A-EAA0-42F1-BD1F-32CAD2C3D805}" destId="{238763FC-3FDB-418C-9B42-E0B626CBDF8F}" srcOrd="1" destOrd="0" presId="urn:microsoft.com/office/officeart/2005/8/layout/orgChart1"/>
    <dgm:cxn modelId="{4665EB33-D07C-4A0E-8D68-1B58B3A3DA58}" type="presOf" srcId="{B4CF74BE-58CF-4B68-8976-50DD5BFD8066}" destId="{16F7F3C1-B314-4697-9548-6102ADFB2845}" srcOrd="0" destOrd="0" presId="urn:microsoft.com/office/officeart/2005/8/layout/orgChart1"/>
    <dgm:cxn modelId="{34B0A936-C13F-40FA-AA67-67A3CEC41A37}" type="presOf" srcId="{5F865CEB-B2EB-4D53-8DE0-0B6F001FAD13}" destId="{79C0AC3B-7363-4806-81AE-14FF31A20713}" srcOrd="0" destOrd="0" presId="urn:microsoft.com/office/officeart/2005/8/layout/orgChart1"/>
    <dgm:cxn modelId="{35464E39-F76D-41AA-892A-4B44BB3D487D}" type="presOf" srcId="{357B889E-B387-412B-B9B6-9F32476C3C10}" destId="{C2CD8812-C5B8-4E74-878A-A4783D02D292}" srcOrd="1" destOrd="0" presId="urn:microsoft.com/office/officeart/2005/8/layout/orgChart1"/>
    <dgm:cxn modelId="{737E7D39-1C32-4109-814B-EF130E49975C}" srcId="{9454DE0B-A7C5-41F1-90C2-FC8050D84371}" destId="{357B889E-B387-412B-B9B6-9F32476C3C10}" srcOrd="3" destOrd="0" parTransId="{E2C47C2A-298B-479F-84DF-89741E9A6263}" sibTransId="{31562F8E-E0D9-468E-83A3-BB712B4C37A4}"/>
    <dgm:cxn modelId="{F7877D39-3D8F-47A2-BE67-F28CBB73E8CB}" type="presOf" srcId="{0BDF942D-E688-4B7D-9580-0F8BB034B844}" destId="{11997D6A-465A-45C6-A0DF-F337D8CF8718}" srcOrd="0" destOrd="0" presId="urn:microsoft.com/office/officeart/2005/8/layout/orgChart1"/>
    <dgm:cxn modelId="{F97BFB3A-5B4D-4450-955D-3D113D08D817}" srcId="{275D2755-AFB3-4EAF-8667-190ED3554305}" destId="{B1A8C7F7-C756-460C-B7F1-CF96157A35A2}" srcOrd="7" destOrd="0" parTransId="{80D68777-2887-4BA5-942D-3CE334BB173A}" sibTransId="{266114A3-770B-42EB-8D9A-43E508052C41}"/>
    <dgm:cxn modelId="{39984B3B-FE7B-4D6A-BD10-FEABF5F9A223}" srcId="{4DE72DAF-80C3-4709-A42C-6C425DBAAC67}" destId="{CA292E85-6AA0-45C4-AC74-6D053DC13E13}" srcOrd="10" destOrd="0" parTransId="{415B12C5-8D56-4353-9ED3-F382452B1ECF}" sibTransId="{CFF28F3E-4DD1-4AE8-B607-7F695B8581D0}"/>
    <dgm:cxn modelId="{9AF04F3E-314C-4906-B904-3AED867BB286}" type="presOf" srcId="{0AE6CD57-0813-477F-9485-806A271EDABB}" destId="{C78889E6-0B7A-4069-9D81-33F1542E363F}" srcOrd="1" destOrd="0" presId="urn:microsoft.com/office/officeart/2005/8/layout/orgChart1"/>
    <dgm:cxn modelId="{5526423F-C524-45AD-93F1-2F00C3E5374C}" type="presOf" srcId="{34461B88-B9AA-486B-8BA5-9FB00807B6AA}" destId="{9A49ABE6-AB50-4691-B46D-6DC5CC79EC1A}" srcOrd="0" destOrd="0" presId="urn:microsoft.com/office/officeart/2005/8/layout/orgChart1"/>
    <dgm:cxn modelId="{410A7B3F-CADE-4D4B-8039-875FF81984FA}" type="presOf" srcId="{CC5B1996-EEC9-44F6-8498-4DEBE17FD699}" destId="{B33B6BBB-D919-42E1-AD07-AFF078258EEC}" srcOrd="0" destOrd="0" presId="urn:microsoft.com/office/officeart/2005/8/layout/orgChart1"/>
    <dgm:cxn modelId="{1C34895B-0BA8-4736-B557-5B48B9854F67}" srcId="{4DE72DAF-80C3-4709-A42C-6C425DBAAC67}" destId="{34461B88-B9AA-486B-8BA5-9FB00807B6AA}" srcOrd="6" destOrd="0" parTransId="{EFEFF577-A3FB-40B3-B0FF-500850030E40}" sibTransId="{C0F1D9F3-7913-41E8-A993-ECD78C557FDF}"/>
    <dgm:cxn modelId="{C91BFD5E-7A3B-4F52-BA47-C992109EDFA6}" type="presOf" srcId="{14092C7C-B8C2-4287-A23C-DF60F896E16E}" destId="{0A957C05-994D-4657-BAED-D070E526985D}" srcOrd="0" destOrd="0" presId="urn:microsoft.com/office/officeart/2005/8/layout/orgChart1"/>
    <dgm:cxn modelId="{4DCF9860-01D0-40D5-870F-51BE2B339084}" type="presOf" srcId="{07404842-E69F-443D-91D0-EBFDCF3059FA}" destId="{95577890-DC99-465C-81A6-8B59F7C108C9}" srcOrd="1" destOrd="0" presId="urn:microsoft.com/office/officeart/2005/8/layout/orgChart1"/>
    <dgm:cxn modelId="{8A640342-B8C9-449B-8992-D802FA7B5493}" type="presOf" srcId="{03B85A45-7F73-44C4-A930-28A63A0D4C0E}" destId="{F81BC637-045E-4D5E-BA82-CB624F3517B0}" srcOrd="0" destOrd="0" presId="urn:microsoft.com/office/officeart/2005/8/layout/orgChart1"/>
    <dgm:cxn modelId="{94567A42-BDC0-4E1E-A5BC-272F55A65405}" srcId="{4DE72DAF-80C3-4709-A42C-6C425DBAAC67}" destId="{65C6B914-A243-4B35-80F7-AB3DC5BD32AE}" srcOrd="4" destOrd="0" parTransId="{B9AA4CFB-8704-4BBC-A7EA-49E7979AF7F0}" sibTransId="{28A7127B-9518-43BE-B162-280E6391E313}"/>
    <dgm:cxn modelId="{060D0443-CF0A-4211-872D-B35CB13A418E}" type="presOf" srcId="{E90E1F7E-0211-4419-B014-E3217A0086DA}" destId="{A2759D17-BBBC-41C5-AA1C-A657446A9475}" srcOrd="0" destOrd="0" presId="urn:microsoft.com/office/officeart/2005/8/layout/orgChart1"/>
    <dgm:cxn modelId="{A0D64E67-6448-4204-B531-0014283A8666}" type="presOf" srcId="{2DBA0C76-000E-4ADD-AF0E-27EB6538586D}" destId="{256BED32-9DC0-4F29-99EC-570332BC2EF6}" srcOrd="0" destOrd="0" presId="urn:microsoft.com/office/officeart/2005/8/layout/orgChart1"/>
    <dgm:cxn modelId="{8CC5A367-029B-4BA5-BAEA-73B17DD2C5DE}" type="presOf" srcId="{1596B05F-6527-44DB-9F75-6AAACAE5C8D2}" destId="{5BA5E2B5-1080-4877-A9FD-EC40A90BDFA5}" srcOrd="0" destOrd="0" presId="urn:microsoft.com/office/officeart/2005/8/layout/orgChart1"/>
    <dgm:cxn modelId="{892BDA48-7E7C-43C2-AF35-41D8B1496F35}" srcId="{3C90CE6A-EAA0-42F1-BD1F-32CAD2C3D805}" destId="{E385FCE3-D751-42E7-9C0C-45CD14FC660C}" srcOrd="3" destOrd="0" parTransId="{E9E04D74-221C-4089-A5F8-CCD69214090A}" sibTransId="{59100BE3-4766-4BEE-ABD6-7AB26B0720CC}"/>
    <dgm:cxn modelId="{963A1269-FADF-491C-89F2-A83A16262EC2}" srcId="{3C90CE6A-EAA0-42F1-BD1F-32CAD2C3D805}" destId="{B050F782-46FB-4CAC-BB0B-28D2F65F57F7}" srcOrd="2" destOrd="0" parTransId="{97137293-0181-4017-A1F2-CD8625F30649}" sibTransId="{9CCDC4A1-3016-482E-8FDF-CB23CD9F8120}"/>
    <dgm:cxn modelId="{30B61449-614E-4B52-8FA6-A07A7FD37EFD}" type="presOf" srcId="{BC7114A3-932D-4BDE-B728-89EA46112B9C}" destId="{189A4130-F57E-48DA-9BB8-C4FC4063F1D2}" srcOrd="1" destOrd="0" presId="urn:microsoft.com/office/officeart/2005/8/layout/orgChart1"/>
    <dgm:cxn modelId="{2D7F5D69-B49D-401A-B6F0-86A952235577}" type="presOf" srcId="{C05619D9-6300-4AEB-A3DF-DD2FC4D38813}" destId="{FAFDCDCE-E742-4F5C-9042-47A3210826AF}" srcOrd="0" destOrd="0" presId="urn:microsoft.com/office/officeart/2005/8/layout/orgChart1"/>
    <dgm:cxn modelId="{0E0C9A4A-78E0-448B-AC83-B4425830964A}" type="presOf" srcId="{7D6C9889-AD9A-432A-89E0-B3CD8A91B8D4}" destId="{EC0B7BEE-6E47-453A-AC30-360984243525}" srcOrd="0" destOrd="0" presId="urn:microsoft.com/office/officeart/2005/8/layout/orgChart1"/>
    <dgm:cxn modelId="{F4B53F6C-3CB0-405E-B38E-9D86890F7DFE}" type="presOf" srcId="{9029D069-AEC0-4FE2-B7DF-BF50F5A32E4A}" destId="{BC42652F-25BC-4B62-94AA-70F8190B5ECF}" srcOrd="0" destOrd="0" presId="urn:microsoft.com/office/officeart/2005/8/layout/orgChart1"/>
    <dgm:cxn modelId="{BA41624C-A952-48E4-9723-3E92913859C1}" type="presOf" srcId="{B1A8C7F7-C756-460C-B7F1-CF96157A35A2}" destId="{6191E62F-FEBD-44C3-A0BE-1D29781511CB}" srcOrd="1" destOrd="0" presId="urn:microsoft.com/office/officeart/2005/8/layout/orgChart1"/>
    <dgm:cxn modelId="{35AC134D-B92F-44FE-ADA5-9C0330CCDAC7}" type="presOf" srcId="{B050F782-46FB-4CAC-BB0B-28D2F65F57F7}" destId="{B1FCD531-9A95-4D48-8038-660AD4F8AB2B}" srcOrd="0" destOrd="0" presId="urn:microsoft.com/office/officeart/2005/8/layout/orgChart1"/>
    <dgm:cxn modelId="{947B2D6E-D7D3-4B50-842B-E48F7AA53E73}" type="presOf" srcId="{D0B5DA6D-70A5-4419-8510-8461AE3E4072}" destId="{DFC2E0B4-20B6-4B29-872A-E789C48FE189}" srcOrd="0" destOrd="0" presId="urn:microsoft.com/office/officeart/2005/8/layout/orgChart1"/>
    <dgm:cxn modelId="{4F3A6971-691A-4227-820E-AFA65B467643}" srcId="{275D2755-AFB3-4EAF-8667-190ED3554305}" destId="{2DBA0C76-000E-4ADD-AF0E-27EB6538586D}" srcOrd="1" destOrd="0" parTransId="{FC5C48F2-A12C-4E04-A8C5-8569EC8848F8}" sibTransId="{C52E1522-EDB3-4645-9E04-D68F60BCD9ED}"/>
    <dgm:cxn modelId="{35FCE572-8459-46E7-8F1C-11C2330FD022}" srcId="{4DE72DAF-80C3-4709-A42C-6C425DBAAC67}" destId="{E1C1A298-F580-4128-8F8D-F6DB65353385}" srcOrd="3" destOrd="0" parTransId="{9DB08FEB-A983-4BE9-AEE1-704A1CBD2F85}" sibTransId="{5FFA1833-7218-4DA2-AEFA-F60C9397FB90}"/>
    <dgm:cxn modelId="{271E6673-CC7D-4A9C-8A62-ABA905480301}" srcId="{9454DE0B-A7C5-41F1-90C2-FC8050D84371}" destId="{54123D53-2FB3-40DE-AC69-96B72C2B8728}" srcOrd="6" destOrd="0" parTransId="{AB81E4AA-045D-4273-BB8A-DD5BFEBE7830}" sibTransId="{D0614698-596A-4428-B771-9ADD3371655A}"/>
    <dgm:cxn modelId="{350AEE54-A54D-4547-9AF8-32F6AB3EFBA7}" srcId="{EA6B4145-288E-4145-97BF-ECA50CDAA0CB}" destId="{C05619D9-6300-4AEB-A3DF-DD2FC4D38813}" srcOrd="3" destOrd="0" parTransId="{1596B05F-6527-44DB-9F75-6AAACAE5C8D2}" sibTransId="{1990F0D4-24AC-4755-AD0E-6A0A83D89C60}"/>
    <dgm:cxn modelId="{41591155-FAD1-4010-BA73-BDA26319F0A1}" srcId="{3C90CE6A-EAA0-42F1-BD1F-32CAD2C3D805}" destId="{24CA127F-E639-4697-9789-909A3EC0A016}" srcOrd="0" destOrd="0" parTransId="{0BDF942D-E688-4B7D-9580-0F8BB034B844}" sibTransId="{BDC7E15E-246D-4A5C-B30B-B8828824C61E}"/>
    <dgm:cxn modelId="{A4E00976-6CB6-4F9D-88B9-2D51B1DD8E16}" type="presOf" srcId="{BC7114A3-932D-4BDE-B728-89EA46112B9C}" destId="{11E24951-FAF1-44ED-A77A-A29BE866770F}" srcOrd="0" destOrd="0" presId="urn:microsoft.com/office/officeart/2005/8/layout/orgChart1"/>
    <dgm:cxn modelId="{B5834B76-FFF1-4B58-8A51-040A156AC5F3}" type="presOf" srcId="{0C0BB843-341B-4077-AC60-7B7C5409D678}" destId="{548BFB23-C118-4F73-8CA6-958D6B5B7104}" srcOrd="0" destOrd="0" presId="urn:microsoft.com/office/officeart/2005/8/layout/orgChart1"/>
    <dgm:cxn modelId="{AA5E6558-0F21-43F4-B1BC-7787EC9AF9AB}" type="presOf" srcId="{CD98EBD2-7A6B-43F3-A890-4BDE47432228}" destId="{BD7D9270-77FF-4A61-86D2-2D73A2EED3CC}" srcOrd="0" destOrd="0" presId="urn:microsoft.com/office/officeart/2005/8/layout/orgChart1"/>
    <dgm:cxn modelId="{AA82F278-D5B6-49CD-98C9-3DB917166983}" type="presOf" srcId="{05D3175E-C612-4C2C-87A7-FD661EAEEFBD}" destId="{CCC553FB-15F4-413A-8847-94F5B2AD648E}" srcOrd="0" destOrd="0" presId="urn:microsoft.com/office/officeart/2005/8/layout/orgChart1"/>
    <dgm:cxn modelId="{B9561B59-7EC3-4231-93FC-D012B407E718}" type="presOf" srcId="{B372C83E-4EF2-4CBB-AE7F-58A8CF607ED1}" destId="{0CB28234-5086-4AA4-A6FB-4F8754B0E461}" srcOrd="0" destOrd="0" presId="urn:microsoft.com/office/officeart/2005/8/layout/orgChart1"/>
    <dgm:cxn modelId="{BAD2425A-139F-40F1-9703-8510933F49C1}" type="presOf" srcId="{24C98728-702E-4E5A-9C81-E17431C5C782}" destId="{6E7AE551-E3FE-4193-A5D5-24047FB06374}" srcOrd="1" destOrd="0" presId="urn:microsoft.com/office/officeart/2005/8/layout/orgChart1"/>
    <dgm:cxn modelId="{2602A45A-7F30-42DE-992C-BFE8DDEC532E}" srcId="{9029D069-AEC0-4FE2-B7DF-BF50F5A32E4A}" destId="{80F2FCC4-5405-447F-983E-B1588241E362}" srcOrd="4" destOrd="0" parTransId="{3BE2D754-1E39-4B5B-B82F-D46771212CC1}" sibTransId="{BB698137-0D00-47C5-ADE2-58D31B5D92F7}"/>
    <dgm:cxn modelId="{D783A47C-BE32-492E-83FA-3F11CA008FFD}" srcId="{2DBA0C76-000E-4ADD-AF0E-27EB6538586D}" destId="{79FFEF7E-305D-46EC-80C9-3CC765771624}" srcOrd="0" destOrd="0" parTransId="{9E4A6D9C-7984-4824-AD57-3747FD4D5513}" sibTransId="{D342A7ED-690B-459B-8D85-B11BE5867FA1}"/>
    <dgm:cxn modelId="{A376767E-ABDF-4F45-8AD2-CC1364DD73FD}" srcId="{275D2755-AFB3-4EAF-8667-190ED3554305}" destId="{3C90CE6A-EAA0-42F1-BD1F-32CAD2C3D805}" srcOrd="3" destOrd="0" parTransId="{70C2D0E9-0F56-44EE-8BF0-0652B6A9A4AA}" sibTransId="{51B052CD-16A2-4BC2-B7F3-CC13FA23F975}"/>
    <dgm:cxn modelId="{808E4E87-73E7-4206-9E17-D7D3B21F0C5E}" type="presOf" srcId="{7195F95C-9F1A-4631-B3E7-F054555DB33B}" destId="{EA5668C6-28E3-4F20-9B2F-C4347CA5EE73}" srcOrd="0" destOrd="0" presId="urn:microsoft.com/office/officeart/2005/8/layout/orgChart1"/>
    <dgm:cxn modelId="{F5C01089-F57D-4FCC-980A-BD88C14ACE8C}" type="presOf" srcId="{AC8A3907-2691-43AB-A0C0-1FB7DE20810E}" destId="{048F876B-E914-4F2C-A2B4-72ADC2E0A02E}" srcOrd="0" destOrd="0" presId="urn:microsoft.com/office/officeart/2005/8/layout/orgChart1"/>
    <dgm:cxn modelId="{30B59C89-5682-4C4C-A104-39654BF95C30}" type="presOf" srcId="{EA6B4145-288E-4145-97BF-ECA50CDAA0CB}" destId="{1B8D084A-5E64-4227-8AA1-46976866E2F0}" srcOrd="0" destOrd="0" presId="urn:microsoft.com/office/officeart/2005/8/layout/orgChart1"/>
    <dgm:cxn modelId="{4B16CB8A-DA10-4711-A728-F0FDEABC22CD}" type="presOf" srcId="{7B99805D-3C39-4795-8216-F93BFFA2D459}" destId="{24CC3259-8990-48CD-9D63-AB3897B9F545}" srcOrd="1" destOrd="0" presId="urn:microsoft.com/office/officeart/2005/8/layout/orgChart1"/>
    <dgm:cxn modelId="{1C60ED8A-2785-42F4-992C-99CE5821D2D7}" type="presOf" srcId="{E90E1F7E-0211-4419-B014-E3217A0086DA}" destId="{546A1C11-C9EE-46C5-9D6B-FCA591E8B03A}" srcOrd="1" destOrd="0" presId="urn:microsoft.com/office/officeart/2005/8/layout/orgChart1"/>
    <dgm:cxn modelId="{E103368B-0C08-476A-A288-8338EB60C386}" type="presOf" srcId="{275D2755-AFB3-4EAF-8667-190ED3554305}" destId="{EB18B992-8A49-4E0A-9C64-660A54B55CB4}" srcOrd="1" destOrd="0" presId="urn:microsoft.com/office/officeart/2005/8/layout/orgChart1"/>
    <dgm:cxn modelId="{0BE1DE8B-69C0-4840-9E97-431700D9615B}" srcId="{9029D069-AEC0-4FE2-B7DF-BF50F5A32E4A}" destId="{51ECB55E-BBAC-4471-9A54-5D98AF94C3A5}" srcOrd="2" destOrd="0" parTransId="{7A0FBFB2-1789-439B-9715-8A2B5FE3DA43}" sibTransId="{7D9D3996-BD9D-4D8B-87D3-29D95E333E91}"/>
    <dgm:cxn modelId="{3F00EC8D-F258-469C-B7C5-229539E851D8}" type="presOf" srcId="{9029D069-AEC0-4FE2-B7DF-BF50F5A32E4A}" destId="{A04E3921-449E-4198-8DD8-5DCEA35B2158}" srcOrd="1" destOrd="0" presId="urn:microsoft.com/office/officeart/2005/8/layout/orgChart1"/>
    <dgm:cxn modelId="{19CFCE8E-B461-4F29-B114-09F5F0F19AB7}" srcId="{D64D43B6-8C29-43A8-BF50-130EE66A7239}" destId="{275D2755-AFB3-4EAF-8667-190ED3554305}" srcOrd="0" destOrd="0" parTransId="{81548D92-4546-485E-83EA-A35B1DE29A19}" sibTransId="{3763879B-402D-4A67-9524-5431F8460919}"/>
    <dgm:cxn modelId="{14D3108F-EA41-40BC-889A-917F00A4189D}" type="presOf" srcId="{AB81E4AA-045D-4273-BB8A-DD5BFEBE7830}" destId="{67296B69-5B92-4AD8-A3DF-EB796293B9BE}" srcOrd="0" destOrd="0" presId="urn:microsoft.com/office/officeart/2005/8/layout/orgChart1"/>
    <dgm:cxn modelId="{AD0D9B90-B26E-4C56-A504-E35917EA29F1}" type="presOf" srcId="{275D2755-AFB3-4EAF-8667-190ED3554305}" destId="{29BF67E5-BA84-4202-87FD-1B0720324EDE}" srcOrd="0" destOrd="0" presId="urn:microsoft.com/office/officeart/2005/8/layout/orgChart1"/>
    <dgm:cxn modelId="{97B0B191-4F64-4C08-9606-7861F0729120}" type="presOf" srcId="{79FFEF7E-305D-46EC-80C9-3CC765771624}" destId="{115C352B-1849-473D-B675-E86CC5F7DF45}" srcOrd="1" destOrd="0" presId="urn:microsoft.com/office/officeart/2005/8/layout/orgChart1"/>
    <dgm:cxn modelId="{DF44F891-1D0C-41F9-82A1-68F970F23C13}" type="presOf" srcId="{EFEFF577-A3FB-40B3-B0FF-500850030E40}" destId="{D9162819-77D1-487D-83B1-B8232BE88684}" srcOrd="0" destOrd="0" presId="urn:microsoft.com/office/officeart/2005/8/layout/orgChart1"/>
    <dgm:cxn modelId="{3F2E0694-9EFC-48A7-82B7-25FF6D8540E8}" srcId="{3C90CE6A-EAA0-42F1-BD1F-32CAD2C3D805}" destId="{05D3175E-C612-4C2C-87A7-FD661EAEEFBD}" srcOrd="4" destOrd="0" parTransId="{87410729-49F0-4D1D-99C5-4BAE5B976E83}" sibTransId="{22D4EECD-0FCC-4489-815D-9CB0D64A93E3}"/>
    <dgm:cxn modelId="{24A26597-2BD8-40EF-95C1-198B120B33D0}" type="presOf" srcId="{8BAE89AD-628C-4BFF-8CB0-258B7A89EE17}" destId="{322C1AAB-D5B9-4A45-B7D8-02646F779554}" srcOrd="0" destOrd="0" presId="urn:microsoft.com/office/officeart/2005/8/layout/orgChart1"/>
    <dgm:cxn modelId="{34F95C98-291E-4A18-AA4B-4D0CA15C0704}" type="presOf" srcId="{7B99805D-3C39-4795-8216-F93BFFA2D459}" destId="{83A7B532-D19D-4D05-A41B-C8F7CF93A29B}" srcOrd="0" destOrd="0" presId="urn:microsoft.com/office/officeart/2005/8/layout/orgChart1"/>
    <dgm:cxn modelId="{CA7A1D9A-22A1-4949-9589-E5ACF85352C0}" srcId="{275D2755-AFB3-4EAF-8667-190ED3554305}" destId="{EA6B4145-288E-4145-97BF-ECA50CDAA0CB}" srcOrd="2" destOrd="0" parTransId="{95438A28-C2C3-4C45-A3AC-2AAECCF5DBEE}" sibTransId="{789FB204-84B7-497D-921F-F4F5D4648F00}"/>
    <dgm:cxn modelId="{9AA5079E-1E00-42C8-A854-0336D8CDF610}" srcId="{2DBA0C76-000E-4ADD-AF0E-27EB6538586D}" destId="{CEE7FB97-5B7A-4037-B8AB-B31E70E51310}" srcOrd="3" destOrd="0" parTransId="{F8023072-779A-4F50-9FD3-B22F61C13155}" sibTransId="{1710ACB2-82C6-46A1-A883-4B88FD9D7816}"/>
    <dgm:cxn modelId="{7B557BA0-48A3-4B37-848D-E7510E73F697}" srcId="{275D2755-AFB3-4EAF-8667-190ED3554305}" destId="{4DE72DAF-80C3-4709-A42C-6C425DBAAC67}" srcOrd="4" destOrd="0" parTransId="{D0B5DA6D-70A5-4419-8510-8461AE3E4072}" sibTransId="{A813D762-E81B-4401-9167-32D47174E752}"/>
    <dgm:cxn modelId="{C947CDA1-CADA-4D64-9DD7-CDE5EC4F73E4}" srcId="{EA6B4145-288E-4145-97BF-ECA50CDAA0CB}" destId="{1333AFEE-8F07-4513-80B1-F79895614607}" srcOrd="0" destOrd="0" parTransId="{7195F95C-9F1A-4631-B3E7-F054555DB33B}" sibTransId="{308DB39C-F97B-4F3B-8D25-2BE8C45CDCA2}"/>
    <dgm:cxn modelId="{E30586A2-568A-4211-BB8D-C69AAC2D88CD}" type="presOf" srcId="{45C1B045-005C-4311-A1C3-7B90F72B1EE4}" destId="{923DD7F0-6C33-46D7-9CDA-49B91AA9F5B6}" srcOrd="0" destOrd="0" presId="urn:microsoft.com/office/officeart/2005/8/layout/orgChart1"/>
    <dgm:cxn modelId="{D88229A5-4ED4-4562-BA8D-014D0F1CBA8C}" srcId="{275D2755-AFB3-4EAF-8667-190ED3554305}" destId="{A5B97CCD-102C-4AC2-935D-F2DA83440559}" srcOrd="6" destOrd="0" parTransId="{52B000EE-AC4C-4A1C-8B77-4220EBD5FEBE}" sibTransId="{33C53331-C8AA-40C3-B0E7-314E25BCF967}"/>
    <dgm:cxn modelId="{BB3D2DA5-902C-4EA7-B302-12A520B22C92}" type="presOf" srcId="{9454DE0B-A7C5-41F1-90C2-FC8050D84371}" destId="{9D36D084-842B-4769-B486-B0D564F5B2E2}" srcOrd="0" destOrd="0" presId="urn:microsoft.com/office/officeart/2005/8/layout/orgChart1"/>
    <dgm:cxn modelId="{A757C8A5-60D6-4172-BF42-BF76D24B6C40}" type="presOf" srcId="{F8023072-779A-4F50-9FD3-B22F61C13155}" destId="{EE034DB2-1B9D-49AC-A7E9-0B6784A172BC}" srcOrd="0" destOrd="0" presId="urn:microsoft.com/office/officeart/2005/8/layout/orgChart1"/>
    <dgm:cxn modelId="{AE0E25A7-7FA2-4413-A8CC-90ECA0C2826D}" srcId="{EA6B4145-288E-4145-97BF-ECA50CDAA0CB}" destId="{0AE6CD57-0813-477F-9485-806A271EDABB}" srcOrd="1" destOrd="0" parTransId="{5B59FCF7-8AC3-48B4-99A1-C8D477FA2DFD}" sibTransId="{F71F85DB-1CDF-4148-AA17-F9E331729A51}"/>
    <dgm:cxn modelId="{8F2563A7-1E75-46C8-A1C3-CE32429E0447}" type="presOf" srcId="{3A7AA5EC-1864-4C2D-8494-C186D80E6A3E}" destId="{5C863727-5B15-4BC2-A730-5BCA6549A943}" srcOrd="0" destOrd="0" presId="urn:microsoft.com/office/officeart/2005/8/layout/orgChart1"/>
    <dgm:cxn modelId="{BE09C0A7-13C0-48FD-BEE2-FB575AF5FA6D}" type="presOf" srcId="{357B889E-B387-412B-B9B6-9F32476C3C10}" destId="{7512449D-D039-4D97-B5A1-507866526137}" srcOrd="0" destOrd="0" presId="urn:microsoft.com/office/officeart/2005/8/layout/orgChart1"/>
    <dgm:cxn modelId="{7B44F0A9-7B3A-4155-A276-664FA7CBA5C2}" type="presOf" srcId="{7D6C9889-AD9A-432A-89E0-B3CD8A91B8D4}" destId="{09EC6CFB-703C-4B71-8535-353D18058582}" srcOrd="1" destOrd="0" presId="urn:microsoft.com/office/officeart/2005/8/layout/orgChart1"/>
    <dgm:cxn modelId="{875E34AA-0863-44D5-A99E-E634F5767343}" type="presOf" srcId="{B652299D-9161-4CD2-94AD-3C5DAB3A75B7}" destId="{50ABCFFC-29E8-4D6E-8965-3362DE5BD75D}" srcOrd="0" destOrd="0" presId="urn:microsoft.com/office/officeart/2005/8/layout/orgChart1"/>
    <dgm:cxn modelId="{B957DEAB-0670-4636-9467-D2EFB4D80B25}" type="presOf" srcId="{EF107CA2-3A5C-402C-A19E-EFE41EA76F2B}" destId="{7989FF66-9F60-46CB-ACCC-307936E85A62}" srcOrd="0" destOrd="0" presId="urn:microsoft.com/office/officeart/2005/8/layout/orgChart1"/>
    <dgm:cxn modelId="{3DD1D0AD-27A7-4783-A8B5-A40ABF1FFBD8}" type="presOf" srcId="{9454DE0B-A7C5-41F1-90C2-FC8050D84371}" destId="{82B72C0F-AA7D-4E4D-853A-F82ED4F6F636}" srcOrd="1" destOrd="0" presId="urn:microsoft.com/office/officeart/2005/8/layout/orgChart1"/>
    <dgm:cxn modelId="{5183E0AE-6B2B-4FF1-919A-143F1B84349C}" type="presOf" srcId="{07404842-E69F-443D-91D0-EBFDCF3059FA}" destId="{004B763B-2A92-42A3-9583-D26C3EF02BA9}" srcOrd="0" destOrd="0" presId="urn:microsoft.com/office/officeart/2005/8/layout/orgChart1"/>
    <dgm:cxn modelId="{42678EAF-F993-456D-8169-AFE3919118D6}" type="presOf" srcId="{B9AA4CFB-8704-4BBC-A7EA-49E7979AF7F0}" destId="{8C7DCB91-1240-4330-95A8-401C5DB06BAF}" srcOrd="0" destOrd="0" presId="urn:microsoft.com/office/officeart/2005/8/layout/orgChart1"/>
    <dgm:cxn modelId="{D2304CB2-C2F5-45A9-B206-0BEB82682E5A}" type="presOf" srcId="{FC5C48F2-A12C-4E04-A8C5-8569EC8848F8}" destId="{DE822372-A48C-4BA2-A644-6839E4055D14}" srcOrd="0" destOrd="0" presId="urn:microsoft.com/office/officeart/2005/8/layout/orgChart1"/>
    <dgm:cxn modelId="{B92157B2-FF74-424D-9055-C0D9C56985E2}" type="presOf" srcId="{D339C85B-E073-4B73-A880-A2D114B2F3E4}" destId="{CA0F0CDD-8BA9-4974-AA2D-9DD2124151F5}" srcOrd="0" destOrd="0" presId="urn:microsoft.com/office/officeart/2005/8/layout/orgChart1"/>
    <dgm:cxn modelId="{A9879DB3-C644-4857-8C2E-D653C293D720}" type="presOf" srcId="{D64D43B6-8C29-43A8-BF50-130EE66A7239}" destId="{427E257A-9720-4385-803E-C52257938F7A}" srcOrd="0" destOrd="0" presId="urn:microsoft.com/office/officeart/2005/8/layout/orgChart1"/>
    <dgm:cxn modelId="{99CFDDB3-B822-48F2-BA05-4C9E47DC2F50}" type="presOf" srcId="{9DB08FEB-A983-4BE9-AEE1-704A1CBD2F85}" destId="{2295849E-3CB4-4E08-BD6A-5C2F3485E851}" srcOrd="0" destOrd="0" presId="urn:microsoft.com/office/officeart/2005/8/layout/orgChart1"/>
    <dgm:cxn modelId="{5B2583B5-968A-4A42-82EB-6DECDA924F1E}" srcId="{2DBA0C76-000E-4ADD-AF0E-27EB6538586D}" destId="{5F865CEB-B2EB-4D53-8DE0-0B6F001FAD13}" srcOrd="2" destOrd="0" parTransId="{CEE3EB80-447F-429A-812E-549ED016F9F6}" sibTransId="{BE6107B4-489C-4A47-9E6A-DC5B73BDAEC2}"/>
    <dgm:cxn modelId="{CF9DD5B5-BEB2-42B6-85A1-10EE54821F50}" type="presOf" srcId="{69816883-D163-4F32-8354-1970793F6218}" destId="{1BECE26A-8A62-446F-BB08-D2896523E025}" srcOrd="0" destOrd="0" presId="urn:microsoft.com/office/officeart/2005/8/layout/orgChart1"/>
    <dgm:cxn modelId="{95A121B6-FDDD-4382-9E08-080A6DD025C3}" type="presOf" srcId="{2C276487-DA0E-499B-8323-01B5D816B11D}" destId="{AB48BFC8-5CAE-43E3-B30B-05EAA6610A12}" srcOrd="0" destOrd="0" presId="urn:microsoft.com/office/officeart/2005/8/layout/orgChart1"/>
    <dgm:cxn modelId="{A7656FB6-40DC-427C-8CA7-0CD07A110654}" type="presOf" srcId="{FDDCDF97-9FBF-469E-B440-70427588B6CF}" destId="{6D98E36D-0E73-406B-842D-48D8840A37AF}" srcOrd="0" destOrd="0" presId="urn:microsoft.com/office/officeart/2005/8/layout/orgChart1"/>
    <dgm:cxn modelId="{DE3086B6-77B1-4457-AC6F-D4D4F3181F69}" srcId="{9029D069-AEC0-4FE2-B7DF-BF50F5A32E4A}" destId="{7D6C9889-AD9A-432A-89E0-B3CD8A91B8D4}" srcOrd="0" destOrd="0" parTransId="{CC5B1996-EEC9-44F6-8498-4DEBE17FD699}" sibTransId="{95B9655F-3929-4BB7-BF26-40A59C13B6AB}"/>
    <dgm:cxn modelId="{63FFAAB6-23ED-4BAD-A36F-3D7EF949D1FA}" srcId="{EA6B4145-288E-4145-97BF-ECA50CDAA0CB}" destId="{EF107CA2-3A5C-402C-A19E-EFE41EA76F2B}" srcOrd="2" destOrd="0" parTransId="{B652299D-9161-4CD2-94AD-3C5DAB3A75B7}" sibTransId="{71F04159-234F-48AD-94A3-F85E6375B2DD}"/>
    <dgm:cxn modelId="{5F019DB8-62B6-4212-B3BA-4E1663680E67}" type="presOf" srcId="{24C98728-702E-4E5A-9C81-E17431C5C782}" destId="{6A449FB0-8ACA-4442-AF28-A96A2E21CFD0}" srcOrd="0" destOrd="0" presId="urn:microsoft.com/office/officeart/2005/8/layout/orgChart1"/>
    <dgm:cxn modelId="{433412B9-80EA-4168-89D1-520E1E62E022}" type="presOf" srcId="{51ECB55E-BBAC-4471-9A54-5D98AF94C3A5}" destId="{0306E8E1-1052-4186-BD31-0CCC4F6BA0A3}" srcOrd="1" destOrd="0" presId="urn:microsoft.com/office/officeart/2005/8/layout/orgChart1"/>
    <dgm:cxn modelId="{4EA3B7BC-C5EE-4526-8886-6ADEB87CAE32}" type="presOf" srcId="{05D3175E-C612-4C2C-87A7-FD661EAEEFBD}" destId="{B84FA9F6-AB21-4BCE-A6E6-3D6EB4FD062A}" srcOrd="1" destOrd="0" presId="urn:microsoft.com/office/officeart/2005/8/layout/orgChart1"/>
    <dgm:cxn modelId="{6C9461BE-79EE-4BA4-9EF3-69CBBBA76BE9}" type="presOf" srcId="{0405E95F-4415-4F7D-BFA7-D69636D5531E}" destId="{4084D449-9063-4EA5-A644-A20205B72339}" srcOrd="0" destOrd="0" presId="urn:microsoft.com/office/officeart/2005/8/layout/orgChart1"/>
    <dgm:cxn modelId="{B59572C2-6409-42B3-A86F-03C421A76C77}" type="presOf" srcId="{70C2D0E9-0F56-44EE-8BF0-0652B6A9A4AA}" destId="{9B8189D4-1EF2-475C-B613-8260DFDA68B3}" srcOrd="0" destOrd="0" presId="urn:microsoft.com/office/officeart/2005/8/layout/orgChart1"/>
    <dgm:cxn modelId="{F8AC86C2-5154-41F3-A2A2-B45FB0AB9C55}" srcId="{275D2755-AFB3-4EAF-8667-190ED3554305}" destId="{9029D069-AEC0-4FE2-B7DF-BF50F5A32E4A}" srcOrd="5" destOrd="0" parTransId="{FDDCDF97-9FBF-469E-B440-70427588B6CF}" sibTransId="{F2F8DB97-CF86-43B4-8DBC-0FDE565EBE07}"/>
    <dgm:cxn modelId="{AD1901C4-B5BE-4F82-9E49-C16E07B66448}" type="presOf" srcId="{52B70142-DAF9-4182-BD3F-E8AA75CC7DD6}" destId="{ECD219A3-4524-4A08-A06A-F640735FEDED}" srcOrd="1" destOrd="0" presId="urn:microsoft.com/office/officeart/2005/8/layout/orgChart1"/>
    <dgm:cxn modelId="{DB6B1DC5-3E02-49C0-B701-0F0D7C750A58}" type="presOf" srcId="{CD98EBD2-7A6B-43F3-A890-4BDE47432228}" destId="{660B3A40-9803-43E1-B5B9-B7B6838B9A98}" srcOrd="1" destOrd="0" presId="urn:microsoft.com/office/officeart/2005/8/layout/orgChart1"/>
    <dgm:cxn modelId="{9AFA25C5-6DA2-4D95-92BB-3F255BA83414}" type="presOf" srcId="{B1A8C7F7-C756-460C-B7F1-CF96157A35A2}" destId="{D3725C45-9C0C-474A-B976-BDEEF4151F76}" srcOrd="0" destOrd="0" presId="urn:microsoft.com/office/officeart/2005/8/layout/orgChart1"/>
    <dgm:cxn modelId="{5847A0C7-DC5F-4100-8D88-8256B950BABF}" type="presOf" srcId="{415B12C5-8D56-4353-9ED3-F382452B1ECF}" destId="{DED4E9AF-A8C5-4CB4-BB6A-11CB23EE5008}" srcOrd="0" destOrd="0" presId="urn:microsoft.com/office/officeart/2005/8/layout/orgChart1"/>
    <dgm:cxn modelId="{26F093C9-862A-4FB1-90BB-270F5CEDF257}" srcId="{275D2755-AFB3-4EAF-8667-190ED3554305}" destId="{9454DE0B-A7C5-41F1-90C2-FC8050D84371}" srcOrd="0" destOrd="0" parTransId="{EEFFD529-C1B6-4B2A-B471-1F64A9CB67FE}" sibTransId="{D0BB9913-539D-42D6-9256-E27A39BFD17B}"/>
    <dgm:cxn modelId="{67503ACC-85F2-4CDE-BA5C-24B8AF775330}" srcId="{4DE72DAF-80C3-4709-A42C-6C425DBAAC67}" destId="{532F6F70-B5D5-4CA5-9FDD-E58A52A4ED94}" srcOrd="1" destOrd="0" parTransId="{B7890E23-7954-4CC0-921D-5A9456194D61}" sibTransId="{418409F5-3E6D-4E9B-8BE9-555DEBEF95B7}"/>
    <dgm:cxn modelId="{6960A3CC-4021-433C-BA64-B1C0CC959426}" type="presOf" srcId="{BD4FC882-A4DD-4A3A-9665-3BD280DB055E}" destId="{818C6BD5-032F-4E1D-A8F3-6C801413AD7F}" srcOrd="0" destOrd="0" presId="urn:microsoft.com/office/officeart/2005/8/layout/orgChart1"/>
    <dgm:cxn modelId="{D05A17CF-88FC-42DC-94B8-0029B0E598F4}" type="presOf" srcId="{5632572D-FDE6-4B7E-A473-B78B26126874}" destId="{EC62EB6B-4A5A-467E-BF2C-A1B79BCBE15D}" srcOrd="0" destOrd="0" presId="urn:microsoft.com/office/officeart/2005/8/layout/orgChart1"/>
    <dgm:cxn modelId="{820BD6D0-8BC3-4FA1-9AE3-80CFBA46AFC0}" type="presOf" srcId="{65C6B914-A243-4B35-80F7-AB3DC5BD32AE}" destId="{B63C4D28-9667-4A87-8BC2-DCB5D1A6D355}" srcOrd="0" destOrd="0" presId="urn:microsoft.com/office/officeart/2005/8/layout/orgChart1"/>
    <dgm:cxn modelId="{BCC8A8D1-8891-4FA4-BE7E-0B4CD8A530BD}" type="presOf" srcId="{A5B97CCD-102C-4AC2-935D-F2DA83440559}" destId="{F43972FB-4FF8-4893-AAC5-C004B8EB9F67}" srcOrd="0" destOrd="0" presId="urn:microsoft.com/office/officeart/2005/8/layout/orgChart1"/>
    <dgm:cxn modelId="{EA8EACD3-0219-48B1-B4B4-1EEF59E74580}" type="presOf" srcId="{21298782-BB51-4405-9598-C6E7C43E13CA}" destId="{FD8E1870-07B7-45F1-9B39-6D26ED95C6E5}" srcOrd="0" destOrd="0" presId="urn:microsoft.com/office/officeart/2005/8/layout/orgChart1"/>
    <dgm:cxn modelId="{6DCD43D7-A537-417B-91F6-492AAF3CB685}" type="presOf" srcId="{BD4FC882-A4DD-4A3A-9665-3BD280DB055E}" destId="{B781AA3F-6760-4E30-9AD4-DC442AADABDD}" srcOrd="1" destOrd="0" presId="urn:microsoft.com/office/officeart/2005/8/layout/orgChart1"/>
    <dgm:cxn modelId="{BC5F16D8-0628-432B-B5CF-2E4279487444}" type="presOf" srcId="{3F1C9013-A47E-4C84-86BE-7D14F351C903}" destId="{9908689E-EE7C-4351-8855-E1EACABFB9F7}" srcOrd="0" destOrd="0" presId="urn:microsoft.com/office/officeart/2005/8/layout/orgChart1"/>
    <dgm:cxn modelId="{95AA44D8-CF2A-423C-8F23-A937081FCCE1}" type="presOf" srcId="{03B85A45-7F73-44C4-A930-28A63A0D4C0E}" destId="{BEA91FFD-AEDA-4BB0-9B5B-53536D360754}" srcOrd="1" destOrd="0" presId="urn:microsoft.com/office/officeart/2005/8/layout/orgChart1"/>
    <dgm:cxn modelId="{4A9A9ED9-D989-4849-B5CC-E48906A12011}" srcId="{4DE72DAF-80C3-4709-A42C-6C425DBAAC67}" destId="{B372C83E-4EF2-4CBB-AE7F-58A8CF607ED1}" srcOrd="9" destOrd="0" parTransId="{B2A021AF-973E-4C83-A065-13ABD3DDC23A}" sibTransId="{249421D0-8F05-4C7B-8826-8CE5723530F3}"/>
    <dgm:cxn modelId="{2569BFDE-4F9D-44E8-AB98-72D6ACE17167}" type="presOf" srcId="{E1C1A298-F580-4128-8F8D-F6DB65353385}" destId="{2C86B113-DD34-4E90-A940-F9E2B19B82C1}" srcOrd="1" destOrd="0" presId="urn:microsoft.com/office/officeart/2005/8/layout/orgChart1"/>
    <dgm:cxn modelId="{475694DF-8921-45FC-982D-F5284FDF243D}" srcId="{9454DE0B-A7C5-41F1-90C2-FC8050D84371}" destId="{BC7114A3-932D-4BDE-B728-89EA46112B9C}" srcOrd="1" destOrd="0" parTransId="{0405E95F-4415-4F7D-BFA7-D69636D5531E}" sibTransId="{22D9E88E-E3C4-452C-B776-7C9D27E6E885}"/>
    <dgm:cxn modelId="{D59D83E2-A640-43EF-99CF-17D0377E24A8}" type="presOf" srcId="{51ECB55E-BBAC-4471-9A54-5D98AF94C3A5}" destId="{B9DEDE45-14AD-4563-88CB-7B0D6A070598}" srcOrd="0" destOrd="0" presId="urn:microsoft.com/office/officeart/2005/8/layout/orgChart1"/>
    <dgm:cxn modelId="{B61BA0E2-4758-4DD8-92A5-E9ABD0CE8613}" type="presOf" srcId="{79FFEF7E-305D-46EC-80C9-3CC765771624}" destId="{67213DB3-AE86-4556-9FBF-5F35C777AABE}" srcOrd="0" destOrd="0" presId="urn:microsoft.com/office/officeart/2005/8/layout/orgChart1"/>
    <dgm:cxn modelId="{10B463E3-E6A0-4BE9-BEEF-B5AC4B460057}" type="presOf" srcId="{97137293-0181-4017-A1F2-CD8625F30649}" destId="{2F8A8082-B83C-4BEF-8C5A-9ECF10C669CA}" srcOrd="0" destOrd="0" presId="urn:microsoft.com/office/officeart/2005/8/layout/orgChart1"/>
    <dgm:cxn modelId="{DE7601E4-C401-48DA-9980-A7FB91548AFA}" type="presOf" srcId="{E1C1A298-F580-4128-8F8D-F6DB65353385}" destId="{BA3A29EB-5F49-4CE7-A2B4-9BA3179FCCF7}" srcOrd="0" destOrd="0" presId="urn:microsoft.com/office/officeart/2005/8/layout/orgChart1"/>
    <dgm:cxn modelId="{15F61FE4-59C8-4A40-903E-47C6F1D81951}" type="presOf" srcId="{B7890E23-7954-4CC0-921D-5A9456194D61}" destId="{C66EAB58-8111-467D-BA44-029831F621E7}" srcOrd="0" destOrd="0" presId="urn:microsoft.com/office/officeart/2005/8/layout/orgChart1"/>
    <dgm:cxn modelId="{CBCC14E5-1A54-47CF-A93B-46B543B9BA29}" type="presOf" srcId="{52B70142-DAF9-4182-BD3F-E8AA75CC7DD6}" destId="{0D3110FA-324F-49A8-996A-15A0FDA711CC}" srcOrd="0" destOrd="0" presId="urn:microsoft.com/office/officeart/2005/8/layout/orgChart1"/>
    <dgm:cxn modelId="{58951CE5-3B05-410F-B7B6-F26C9170116C}" type="presOf" srcId="{5943CE6D-CD85-4821-BC57-C1A6AB08FDBD}" destId="{21F4EC95-B400-454C-8990-BE3DCF58B679}" srcOrd="1" destOrd="0" presId="urn:microsoft.com/office/officeart/2005/8/layout/orgChart1"/>
    <dgm:cxn modelId="{27B41FE5-3FC6-440F-A5B6-2A1C0C2ADBA6}" type="presOf" srcId="{B372C83E-4EF2-4CBB-AE7F-58A8CF607ED1}" destId="{4BAAEFED-5939-487E-BB6E-45867B47BA9F}" srcOrd="1" destOrd="0" presId="urn:microsoft.com/office/officeart/2005/8/layout/orgChart1"/>
    <dgm:cxn modelId="{6B965AE6-18AB-44E9-9BEA-92CA687F3D21}" type="presOf" srcId="{B2A021AF-973E-4C83-A065-13ABD3DDC23A}" destId="{4982CC62-158D-4855-A22D-8483BB727345}" srcOrd="0" destOrd="0" presId="urn:microsoft.com/office/officeart/2005/8/layout/orgChart1"/>
    <dgm:cxn modelId="{9E9979E9-05CE-4D83-9967-DAA6293499C3}" type="presOf" srcId="{3F1C9013-A47E-4C84-86BE-7D14F351C903}" destId="{73E73B00-2D84-49E8-9F99-AB9F12B387B7}" srcOrd="1" destOrd="0" presId="urn:microsoft.com/office/officeart/2005/8/layout/orgChart1"/>
    <dgm:cxn modelId="{738EEAEA-7059-4D1A-8498-F83B7CBC3EC1}" type="presOf" srcId="{24CA127F-E639-4697-9789-909A3EC0A016}" destId="{D73594A3-6020-41BB-9BF6-A67A6A6C62C0}" srcOrd="1" destOrd="0" presId="urn:microsoft.com/office/officeart/2005/8/layout/orgChart1"/>
    <dgm:cxn modelId="{0D47FFEA-E7B8-4E19-85DC-A3EE934E1443}" type="presOf" srcId="{5B59FCF7-8AC3-48B4-99A1-C8D477FA2DFD}" destId="{879DAD1E-324F-4CBD-BB38-9A21D24EBF88}" srcOrd="0" destOrd="0" presId="urn:microsoft.com/office/officeart/2005/8/layout/orgChart1"/>
    <dgm:cxn modelId="{7B97F4EB-656B-4519-AC93-66647B44126B}" type="presOf" srcId="{69816883-D163-4F32-8354-1970793F6218}" destId="{6FB4CC05-60F5-4D4F-AA95-6A776EFC87EC}" srcOrd="1" destOrd="0" presId="urn:microsoft.com/office/officeart/2005/8/layout/orgChart1"/>
    <dgm:cxn modelId="{BC5177EC-DF46-40A6-A3B2-A33AEDD5221E}" type="presOf" srcId="{532F6F70-B5D5-4CA5-9FDD-E58A52A4ED94}" destId="{98EF1D53-F3BB-4809-9EA1-E05EB58F62D9}" srcOrd="0" destOrd="0" presId="urn:microsoft.com/office/officeart/2005/8/layout/orgChart1"/>
    <dgm:cxn modelId="{B4AD3AF0-F25A-4AD8-9632-5457DEFD9981}" type="presOf" srcId="{3C90CE6A-EAA0-42F1-BD1F-32CAD2C3D805}" destId="{3B4006D6-959F-4E14-82BA-F0259EFFF137}" srcOrd="0" destOrd="0" presId="urn:microsoft.com/office/officeart/2005/8/layout/orgChart1"/>
    <dgm:cxn modelId="{1AD682F1-CBA2-409C-9B1E-DB970CFAED92}" srcId="{3C90CE6A-EAA0-42F1-BD1F-32CAD2C3D805}" destId="{03B85A45-7F73-44C4-A930-28A63A0D4C0E}" srcOrd="5" destOrd="0" parTransId="{A8D649BC-5CF0-440B-AE03-66AC5654DD26}" sibTransId="{FE880C4B-6E12-4C5C-BAD1-735E3D7FDA17}"/>
    <dgm:cxn modelId="{A53781F3-CDEF-4A11-9A74-7BF9B427E9DD}" srcId="{9454DE0B-A7C5-41F1-90C2-FC8050D84371}" destId="{3F1C9013-A47E-4C84-86BE-7D14F351C903}" srcOrd="4" destOrd="0" parTransId="{2C276487-DA0E-499B-8323-01B5D816B11D}" sibTransId="{33D375CC-2DAC-4AE6-A620-EBBF42AA8725}"/>
    <dgm:cxn modelId="{A76877F4-13E0-41BD-899F-A9B710123D46}" type="presOf" srcId="{70EFCBE2-B6CC-494A-9B0E-17001C7A5B1C}" destId="{0F3517A2-46D8-4431-BE54-8B6E2275C4F8}" srcOrd="0" destOrd="0" presId="urn:microsoft.com/office/officeart/2005/8/layout/orgChart1"/>
    <dgm:cxn modelId="{146B94F4-E083-48DB-AAEE-FC7F44D9CDDA}" type="presOf" srcId="{52B000EE-AC4C-4A1C-8B77-4220EBD5FEBE}" destId="{4A8A7734-128F-4A82-97A7-B6A76168CB90}" srcOrd="0" destOrd="0" presId="urn:microsoft.com/office/officeart/2005/8/layout/orgChart1"/>
    <dgm:cxn modelId="{4DE39CF4-266A-457D-9055-275DE740931E}" type="presOf" srcId="{A8D649BC-5CF0-440B-AE03-66AC5654DD26}" destId="{B680243A-C60B-4CE6-ADC6-34706B6E7309}" srcOrd="0" destOrd="0" presId="urn:microsoft.com/office/officeart/2005/8/layout/orgChart1"/>
    <dgm:cxn modelId="{448545F5-D855-46DE-9523-37DF5892FBFF}" type="presOf" srcId="{EEFFD529-C1B6-4B2A-B471-1F64A9CB67FE}" destId="{D0116207-F2E1-45F9-A507-7BB37276A8F2}" srcOrd="0" destOrd="0" presId="urn:microsoft.com/office/officeart/2005/8/layout/orgChart1"/>
    <dgm:cxn modelId="{0FC739F6-958C-4880-9338-C273E51F39D5}" srcId="{4DE72DAF-80C3-4709-A42C-6C425DBAAC67}" destId="{69816883-D163-4F32-8354-1970793F6218}" srcOrd="2" destOrd="0" parTransId="{BE53619F-C74E-4ACF-9BD7-F70BA7355090}" sibTransId="{B7EB253C-742D-4DBF-837B-53551F0B0AEA}"/>
    <dgm:cxn modelId="{CBBDA1F6-AE35-4103-960D-DD9301AD98BC}" srcId="{2DBA0C76-000E-4ADD-AF0E-27EB6538586D}" destId="{24C98728-702E-4E5A-9C81-E17431C5C782}" srcOrd="1" destOrd="0" parTransId="{14092C7C-B8C2-4287-A23C-DF60F896E16E}" sibTransId="{EB2A7BB5-B202-431E-A874-35EA7B2CD7D0}"/>
    <dgm:cxn modelId="{F36FACF6-4CF3-4A31-9840-C6819C744BF7}" type="presOf" srcId="{7A0FBFB2-1789-439B-9715-8A2B5FE3DA43}" destId="{7154154A-4125-441E-A3C3-BE87A8A5278D}" srcOrd="0" destOrd="0" presId="urn:microsoft.com/office/officeart/2005/8/layout/orgChart1"/>
    <dgm:cxn modelId="{0CCAEBF8-C0E0-4524-BD70-2850E313EA60}" type="presOf" srcId="{E2C47C2A-298B-479F-84DF-89741E9A6263}" destId="{E6D0518A-5054-4B2F-8947-40581324F440}" srcOrd="0" destOrd="0" presId="urn:microsoft.com/office/officeart/2005/8/layout/orgChart1"/>
    <dgm:cxn modelId="{95F5F0FA-85E7-4797-B6F6-492D5C255562}" type="presOf" srcId="{95438A28-C2C3-4C45-A3AC-2AAECCF5DBEE}" destId="{B93A9DA3-5D97-4290-A2AB-F85B3A89546F}" srcOrd="0" destOrd="0" presId="urn:microsoft.com/office/officeart/2005/8/layout/orgChart1"/>
    <dgm:cxn modelId="{D1ED48FB-A3A8-44E2-BBC7-08AEC49FFD30}" srcId="{9454DE0B-A7C5-41F1-90C2-FC8050D84371}" destId="{70EFCBE2-B6CC-494A-9B0E-17001C7A5B1C}" srcOrd="2" destOrd="0" parTransId="{EDC20C76-D971-40A3-A574-7E96B8258720}" sibTransId="{FBB7BA64-6EB1-47D8-9036-BF23A014F28D}"/>
    <dgm:cxn modelId="{40CEC0FB-82AA-464E-8FF6-43A2AC2FA3DE}" srcId="{4DE72DAF-80C3-4709-A42C-6C425DBAAC67}" destId="{52B70142-DAF9-4182-BD3F-E8AA75CC7DD6}" srcOrd="5" destOrd="0" parTransId="{D339C85B-E073-4B73-A880-A2D114B2F3E4}" sibTransId="{5DC183BB-7A2B-42B9-AAC6-30EEAD175361}"/>
    <dgm:cxn modelId="{41B2BCFD-E61F-46DE-AFC6-61D45469AE84}" type="presOf" srcId="{4DE72DAF-80C3-4709-A42C-6C425DBAAC67}" destId="{7A9FD34F-8D67-4F80-90BD-38983F7865F4}" srcOrd="1" destOrd="0" presId="urn:microsoft.com/office/officeart/2005/8/layout/orgChart1"/>
    <dgm:cxn modelId="{B67CE3FD-237A-4574-ABD1-DA50D4CAAF5A}" type="presOf" srcId="{E385FCE3-D751-42E7-9C0C-45CD14FC660C}" destId="{7A045811-15A8-4399-A5CC-917779C010F3}" srcOrd="1" destOrd="0" presId="urn:microsoft.com/office/officeart/2005/8/layout/orgChart1"/>
    <dgm:cxn modelId="{45BB51FF-C080-4632-B6CF-FFF54AC28D30}" srcId="{9454DE0B-A7C5-41F1-90C2-FC8050D84371}" destId="{5943CE6D-CD85-4821-BC57-C1A6AB08FDBD}" srcOrd="5" destOrd="0" parTransId="{21298782-BB51-4405-9598-C6E7C43E13CA}" sibTransId="{45875C50-7D78-4C2C-91A1-CD58AF380837}"/>
    <dgm:cxn modelId="{9760ABFF-71D2-4D96-90BD-B0235B726648}" type="presOf" srcId="{24CA127F-E639-4697-9789-909A3EC0A016}" destId="{4D573F0E-FFFE-4F4C-B8F3-9709269791EA}" srcOrd="0" destOrd="0" presId="urn:microsoft.com/office/officeart/2005/8/layout/orgChart1"/>
    <dgm:cxn modelId="{7163DEFF-B765-42CB-8DBE-57F54327E4DC}" type="presOf" srcId="{EDC20C76-D971-40A3-A574-7E96B8258720}" destId="{8DADBF1B-9685-4B68-8BEC-85007486F1C8}" srcOrd="0" destOrd="0" presId="urn:microsoft.com/office/officeart/2005/8/layout/orgChart1"/>
    <dgm:cxn modelId="{ACFAAC06-24F9-4F23-B805-EFA69ADB8DCA}" type="presParOf" srcId="{427E257A-9720-4385-803E-C52257938F7A}" destId="{A7F72A73-2424-4185-A25C-3DDEC3FD4FD6}" srcOrd="0" destOrd="0" presId="urn:microsoft.com/office/officeart/2005/8/layout/orgChart1"/>
    <dgm:cxn modelId="{AB9E9E54-11CA-4246-B564-9C1EDA663698}" type="presParOf" srcId="{A7F72A73-2424-4185-A25C-3DDEC3FD4FD6}" destId="{467CD7C7-D215-48A8-BE5C-B2B32994BF02}" srcOrd="0" destOrd="0" presId="urn:microsoft.com/office/officeart/2005/8/layout/orgChart1"/>
    <dgm:cxn modelId="{106B29EB-A961-4150-AEF3-296C4A00E335}" type="presParOf" srcId="{467CD7C7-D215-48A8-BE5C-B2B32994BF02}" destId="{29BF67E5-BA84-4202-87FD-1B0720324EDE}" srcOrd="0" destOrd="0" presId="urn:microsoft.com/office/officeart/2005/8/layout/orgChart1"/>
    <dgm:cxn modelId="{04002AF0-9AE1-4251-9B83-5D2A5289FA2E}" type="presParOf" srcId="{467CD7C7-D215-48A8-BE5C-B2B32994BF02}" destId="{EB18B992-8A49-4E0A-9C64-660A54B55CB4}" srcOrd="1" destOrd="0" presId="urn:microsoft.com/office/officeart/2005/8/layout/orgChart1"/>
    <dgm:cxn modelId="{E709698E-4696-4CD9-A64E-7A2422A9FD97}" type="presParOf" srcId="{A7F72A73-2424-4185-A25C-3DDEC3FD4FD6}" destId="{49400318-D702-4557-B5EF-037F4CB07571}" srcOrd="1" destOrd="0" presId="urn:microsoft.com/office/officeart/2005/8/layout/orgChart1"/>
    <dgm:cxn modelId="{89E05410-396E-4CFF-8D33-5623FCC21856}" type="presParOf" srcId="{49400318-D702-4557-B5EF-037F4CB07571}" destId="{D0116207-F2E1-45F9-A507-7BB37276A8F2}" srcOrd="0" destOrd="0" presId="urn:microsoft.com/office/officeart/2005/8/layout/orgChart1"/>
    <dgm:cxn modelId="{B7C6BDD9-0363-4485-B468-E0BD160D817E}" type="presParOf" srcId="{49400318-D702-4557-B5EF-037F4CB07571}" destId="{E374F675-2EC4-4F74-A84C-F82001B0AF15}" srcOrd="1" destOrd="0" presId="urn:microsoft.com/office/officeart/2005/8/layout/orgChart1"/>
    <dgm:cxn modelId="{9FDACB60-5929-44D3-A4FA-1E50CCB77315}" type="presParOf" srcId="{E374F675-2EC4-4F74-A84C-F82001B0AF15}" destId="{AEFF6565-FA3B-4572-87AE-16510444578A}" srcOrd="0" destOrd="0" presId="urn:microsoft.com/office/officeart/2005/8/layout/orgChart1"/>
    <dgm:cxn modelId="{2C3E6D78-4707-41F1-8C27-D0856B2DFD74}" type="presParOf" srcId="{AEFF6565-FA3B-4572-87AE-16510444578A}" destId="{9D36D084-842B-4769-B486-B0D564F5B2E2}" srcOrd="0" destOrd="0" presId="urn:microsoft.com/office/officeart/2005/8/layout/orgChart1"/>
    <dgm:cxn modelId="{8D02E742-0B7B-4393-96FE-E35E8338C3F8}" type="presParOf" srcId="{AEFF6565-FA3B-4572-87AE-16510444578A}" destId="{82B72C0F-AA7D-4E4D-853A-F82ED4F6F636}" srcOrd="1" destOrd="0" presId="urn:microsoft.com/office/officeart/2005/8/layout/orgChart1"/>
    <dgm:cxn modelId="{FE5BADC7-917B-4D3E-8E11-C9A700E15999}" type="presParOf" srcId="{E374F675-2EC4-4F74-A84C-F82001B0AF15}" destId="{1E8D6AC5-5532-41E4-8604-1AD2D6B0DDD2}" srcOrd="1" destOrd="0" presId="urn:microsoft.com/office/officeart/2005/8/layout/orgChart1"/>
    <dgm:cxn modelId="{EF2272F5-B9C2-4B4F-B96A-66C5AAB243D7}" type="presParOf" srcId="{1E8D6AC5-5532-41E4-8604-1AD2D6B0DDD2}" destId="{923DD7F0-6C33-46D7-9CDA-49B91AA9F5B6}" srcOrd="0" destOrd="0" presId="urn:microsoft.com/office/officeart/2005/8/layout/orgChart1"/>
    <dgm:cxn modelId="{01A2EB72-EED3-4160-92DB-0840D5D33C57}" type="presParOf" srcId="{1E8D6AC5-5532-41E4-8604-1AD2D6B0DDD2}" destId="{1B5C147D-730D-4F9C-96F6-35487458ABD4}" srcOrd="1" destOrd="0" presId="urn:microsoft.com/office/officeart/2005/8/layout/orgChart1"/>
    <dgm:cxn modelId="{EE612C5C-AB5C-4B9B-BD9E-B5D364AA429D}" type="presParOf" srcId="{1B5C147D-730D-4F9C-96F6-35487458ABD4}" destId="{753EE3A2-5222-4BE9-A100-951C42802887}" srcOrd="0" destOrd="0" presId="urn:microsoft.com/office/officeart/2005/8/layout/orgChart1"/>
    <dgm:cxn modelId="{DF767BF7-8EF2-4056-8F00-E0C6903D7861}" type="presParOf" srcId="{753EE3A2-5222-4BE9-A100-951C42802887}" destId="{BD7D9270-77FF-4A61-86D2-2D73A2EED3CC}" srcOrd="0" destOrd="0" presId="urn:microsoft.com/office/officeart/2005/8/layout/orgChart1"/>
    <dgm:cxn modelId="{8DB0074B-C949-4E32-A0D1-0D7F1655DBDE}" type="presParOf" srcId="{753EE3A2-5222-4BE9-A100-951C42802887}" destId="{660B3A40-9803-43E1-B5B9-B7B6838B9A98}" srcOrd="1" destOrd="0" presId="urn:microsoft.com/office/officeart/2005/8/layout/orgChart1"/>
    <dgm:cxn modelId="{00B3BDD3-212E-4A82-AB3E-2E4EE16D26EB}" type="presParOf" srcId="{1B5C147D-730D-4F9C-96F6-35487458ABD4}" destId="{D3A1FE5C-7E6F-4ED3-83CE-2FB916DEDCCB}" srcOrd="1" destOrd="0" presId="urn:microsoft.com/office/officeart/2005/8/layout/orgChart1"/>
    <dgm:cxn modelId="{B8DE9D86-E97C-4320-AA74-88CF95E9BF0F}" type="presParOf" srcId="{1B5C147D-730D-4F9C-96F6-35487458ABD4}" destId="{6B9114F8-D86E-4951-930B-84F5C309A3A1}" srcOrd="2" destOrd="0" presId="urn:microsoft.com/office/officeart/2005/8/layout/orgChart1"/>
    <dgm:cxn modelId="{EBE353F3-1CB1-4E88-BEE1-D938AD7A5F1A}" type="presParOf" srcId="{1E8D6AC5-5532-41E4-8604-1AD2D6B0DDD2}" destId="{4084D449-9063-4EA5-A644-A20205B72339}" srcOrd="2" destOrd="0" presId="urn:microsoft.com/office/officeart/2005/8/layout/orgChart1"/>
    <dgm:cxn modelId="{71D3C975-EE55-41B9-A600-DE5004C33641}" type="presParOf" srcId="{1E8D6AC5-5532-41E4-8604-1AD2D6B0DDD2}" destId="{25EDA3E8-07DC-444B-B506-315ADDB216E1}" srcOrd="3" destOrd="0" presId="urn:microsoft.com/office/officeart/2005/8/layout/orgChart1"/>
    <dgm:cxn modelId="{C728C84E-5E02-473B-BFC9-39CCE322ED38}" type="presParOf" srcId="{25EDA3E8-07DC-444B-B506-315ADDB216E1}" destId="{134E10C1-1D0B-4E58-8F63-55366CADA97E}" srcOrd="0" destOrd="0" presId="urn:microsoft.com/office/officeart/2005/8/layout/orgChart1"/>
    <dgm:cxn modelId="{143D18F9-C1A9-4C63-B18B-58FE93C31425}" type="presParOf" srcId="{134E10C1-1D0B-4E58-8F63-55366CADA97E}" destId="{11E24951-FAF1-44ED-A77A-A29BE866770F}" srcOrd="0" destOrd="0" presId="urn:microsoft.com/office/officeart/2005/8/layout/orgChart1"/>
    <dgm:cxn modelId="{7FA96EF6-33AF-4C3A-B2A6-702AACDB049D}" type="presParOf" srcId="{134E10C1-1D0B-4E58-8F63-55366CADA97E}" destId="{189A4130-F57E-48DA-9BB8-C4FC4063F1D2}" srcOrd="1" destOrd="0" presId="urn:microsoft.com/office/officeart/2005/8/layout/orgChart1"/>
    <dgm:cxn modelId="{2037F48C-5F75-451D-9771-57C9DCFB1074}" type="presParOf" srcId="{25EDA3E8-07DC-444B-B506-315ADDB216E1}" destId="{0A6C2022-6393-4047-8E63-43796B3449D3}" srcOrd="1" destOrd="0" presId="urn:microsoft.com/office/officeart/2005/8/layout/orgChart1"/>
    <dgm:cxn modelId="{2415E025-7A3C-4DAD-9022-FC729F94A703}" type="presParOf" srcId="{25EDA3E8-07DC-444B-B506-315ADDB216E1}" destId="{475C98F4-B09F-4B08-BFF2-D52AF829A205}" srcOrd="2" destOrd="0" presId="urn:microsoft.com/office/officeart/2005/8/layout/orgChart1"/>
    <dgm:cxn modelId="{4B8FA173-E0A3-46CE-B9F4-B4169899B58E}" type="presParOf" srcId="{1E8D6AC5-5532-41E4-8604-1AD2D6B0DDD2}" destId="{8DADBF1B-9685-4B68-8BEC-85007486F1C8}" srcOrd="4" destOrd="0" presId="urn:microsoft.com/office/officeart/2005/8/layout/orgChart1"/>
    <dgm:cxn modelId="{06C32195-513C-4DE6-B8AD-3F5FC9EB86CA}" type="presParOf" srcId="{1E8D6AC5-5532-41E4-8604-1AD2D6B0DDD2}" destId="{19E55628-3D24-48D4-9747-D31FC42ECE21}" srcOrd="5" destOrd="0" presId="urn:microsoft.com/office/officeart/2005/8/layout/orgChart1"/>
    <dgm:cxn modelId="{6127022C-1F0F-4886-BF8D-CC230093E053}" type="presParOf" srcId="{19E55628-3D24-48D4-9747-D31FC42ECE21}" destId="{B27E0E28-B7F5-4939-B891-19766F8795D3}" srcOrd="0" destOrd="0" presId="urn:microsoft.com/office/officeart/2005/8/layout/orgChart1"/>
    <dgm:cxn modelId="{2117489C-3295-4FAC-A7D9-DAF835FA02AD}" type="presParOf" srcId="{B27E0E28-B7F5-4939-B891-19766F8795D3}" destId="{0F3517A2-46D8-4431-BE54-8B6E2275C4F8}" srcOrd="0" destOrd="0" presId="urn:microsoft.com/office/officeart/2005/8/layout/orgChart1"/>
    <dgm:cxn modelId="{3054328A-983C-4ABA-BDC5-8029F67BAF51}" type="presParOf" srcId="{B27E0E28-B7F5-4939-B891-19766F8795D3}" destId="{45DFA714-2A59-44E1-9355-96A7A0770B3C}" srcOrd="1" destOrd="0" presId="urn:microsoft.com/office/officeart/2005/8/layout/orgChart1"/>
    <dgm:cxn modelId="{254A81B2-F5CD-4DCF-ADDA-1E90ECBE730B}" type="presParOf" srcId="{19E55628-3D24-48D4-9747-D31FC42ECE21}" destId="{D1492ACE-3083-4B86-BAB8-8A97A890578B}" srcOrd="1" destOrd="0" presId="urn:microsoft.com/office/officeart/2005/8/layout/orgChart1"/>
    <dgm:cxn modelId="{E9B7DF87-25DE-4A3B-AE0C-F4DD151E6917}" type="presParOf" srcId="{19E55628-3D24-48D4-9747-D31FC42ECE21}" destId="{71EB6953-BB57-4FB3-9DBC-C7EE552E7351}" srcOrd="2" destOrd="0" presId="urn:microsoft.com/office/officeart/2005/8/layout/orgChart1"/>
    <dgm:cxn modelId="{F853A6DA-2FFB-4B5C-988E-7D734C3D9285}" type="presParOf" srcId="{1E8D6AC5-5532-41E4-8604-1AD2D6B0DDD2}" destId="{E6D0518A-5054-4B2F-8947-40581324F440}" srcOrd="6" destOrd="0" presId="urn:microsoft.com/office/officeart/2005/8/layout/orgChart1"/>
    <dgm:cxn modelId="{4D44C38C-0BFA-4326-A428-D0603A3B9DDD}" type="presParOf" srcId="{1E8D6AC5-5532-41E4-8604-1AD2D6B0DDD2}" destId="{32B1DB74-3FAF-4FD8-91A6-339CE65787F9}" srcOrd="7" destOrd="0" presId="urn:microsoft.com/office/officeart/2005/8/layout/orgChart1"/>
    <dgm:cxn modelId="{291E8010-6FEC-4A67-AF40-98DD1E5A2775}" type="presParOf" srcId="{32B1DB74-3FAF-4FD8-91A6-339CE65787F9}" destId="{E692D7A2-2794-463D-BB87-6E9D5814F08F}" srcOrd="0" destOrd="0" presId="urn:microsoft.com/office/officeart/2005/8/layout/orgChart1"/>
    <dgm:cxn modelId="{C0168215-E585-4A97-A084-AED0FC9B3F8C}" type="presParOf" srcId="{E692D7A2-2794-463D-BB87-6E9D5814F08F}" destId="{7512449D-D039-4D97-B5A1-507866526137}" srcOrd="0" destOrd="0" presId="urn:microsoft.com/office/officeart/2005/8/layout/orgChart1"/>
    <dgm:cxn modelId="{885151AD-BAB9-4E4A-8578-F49BDAD4077B}" type="presParOf" srcId="{E692D7A2-2794-463D-BB87-6E9D5814F08F}" destId="{C2CD8812-C5B8-4E74-878A-A4783D02D292}" srcOrd="1" destOrd="0" presId="urn:microsoft.com/office/officeart/2005/8/layout/orgChart1"/>
    <dgm:cxn modelId="{62A41EFC-8CE2-40F5-95EB-212E53486350}" type="presParOf" srcId="{32B1DB74-3FAF-4FD8-91A6-339CE65787F9}" destId="{FCE5BF36-A5B3-4E5C-B6B1-29D8070AD331}" srcOrd="1" destOrd="0" presId="urn:microsoft.com/office/officeart/2005/8/layout/orgChart1"/>
    <dgm:cxn modelId="{02889E62-0832-4C0D-95D8-4794E526C825}" type="presParOf" srcId="{32B1DB74-3FAF-4FD8-91A6-339CE65787F9}" destId="{05B51141-3A72-4E6F-B51F-E544D614D4DF}" srcOrd="2" destOrd="0" presId="urn:microsoft.com/office/officeart/2005/8/layout/orgChart1"/>
    <dgm:cxn modelId="{CEF5F629-C983-484F-86CB-12DF18B9E736}" type="presParOf" srcId="{1E8D6AC5-5532-41E4-8604-1AD2D6B0DDD2}" destId="{AB48BFC8-5CAE-43E3-B30B-05EAA6610A12}" srcOrd="8" destOrd="0" presId="urn:microsoft.com/office/officeart/2005/8/layout/orgChart1"/>
    <dgm:cxn modelId="{E808EBB8-0A01-4072-97CF-12A31CCE23A5}" type="presParOf" srcId="{1E8D6AC5-5532-41E4-8604-1AD2D6B0DDD2}" destId="{3B84F681-0A6C-4D26-9CEC-CCC8FF294B63}" srcOrd="9" destOrd="0" presId="urn:microsoft.com/office/officeart/2005/8/layout/orgChart1"/>
    <dgm:cxn modelId="{2340CD3E-A92E-4D62-B8A6-BEF66556275B}" type="presParOf" srcId="{3B84F681-0A6C-4D26-9CEC-CCC8FF294B63}" destId="{4B869762-BD0F-4473-B651-7062F951B0D7}" srcOrd="0" destOrd="0" presId="urn:microsoft.com/office/officeart/2005/8/layout/orgChart1"/>
    <dgm:cxn modelId="{726F0F22-DA07-491C-B82B-3A7255A93D53}" type="presParOf" srcId="{4B869762-BD0F-4473-B651-7062F951B0D7}" destId="{9908689E-EE7C-4351-8855-E1EACABFB9F7}" srcOrd="0" destOrd="0" presId="urn:microsoft.com/office/officeart/2005/8/layout/orgChart1"/>
    <dgm:cxn modelId="{C66EB8DA-F8D8-4263-8C24-E8C1AB05D2F4}" type="presParOf" srcId="{4B869762-BD0F-4473-B651-7062F951B0D7}" destId="{73E73B00-2D84-49E8-9F99-AB9F12B387B7}" srcOrd="1" destOrd="0" presId="urn:microsoft.com/office/officeart/2005/8/layout/orgChart1"/>
    <dgm:cxn modelId="{75250B01-95A3-4015-BC3A-20520273B817}" type="presParOf" srcId="{3B84F681-0A6C-4D26-9CEC-CCC8FF294B63}" destId="{8BC7191E-05E2-4FF6-86F2-0FFE0AC69C9A}" srcOrd="1" destOrd="0" presId="urn:microsoft.com/office/officeart/2005/8/layout/orgChart1"/>
    <dgm:cxn modelId="{C2E055C4-0086-4DD5-9897-C9C2FBFDDEAF}" type="presParOf" srcId="{3B84F681-0A6C-4D26-9CEC-CCC8FF294B63}" destId="{CEEAF7DB-5299-43A6-AD6C-BBDE5FF6D7F2}" srcOrd="2" destOrd="0" presId="urn:microsoft.com/office/officeart/2005/8/layout/orgChart1"/>
    <dgm:cxn modelId="{EFB1BFB7-9C2C-477E-A61A-15A5729426BA}" type="presParOf" srcId="{1E8D6AC5-5532-41E4-8604-1AD2D6B0DDD2}" destId="{FD8E1870-07B7-45F1-9B39-6D26ED95C6E5}" srcOrd="10" destOrd="0" presId="urn:microsoft.com/office/officeart/2005/8/layout/orgChart1"/>
    <dgm:cxn modelId="{0E40B971-9FEF-4615-AC89-B7EE9075030E}" type="presParOf" srcId="{1E8D6AC5-5532-41E4-8604-1AD2D6B0DDD2}" destId="{B9F5F69A-DAFD-463B-AE70-7B7C1D12096B}" srcOrd="11" destOrd="0" presId="urn:microsoft.com/office/officeart/2005/8/layout/orgChart1"/>
    <dgm:cxn modelId="{5F932EC4-9F12-4DD1-8719-E7251A30BDE1}" type="presParOf" srcId="{B9F5F69A-DAFD-463B-AE70-7B7C1D12096B}" destId="{B8D105BB-A9B5-4CF3-91AC-91E0411D9351}" srcOrd="0" destOrd="0" presId="urn:microsoft.com/office/officeart/2005/8/layout/orgChart1"/>
    <dgm:cxn modelId="{0C6D0B46-3072-4304-9097-617807A115E0}" type="presParOf" srcId="{B8D105BB-A9B5-4CF3-91AC-91E0411D9351}" destId="{FFF4A685-614C-4C1A-A450-9A23A762802C}" srcOrd="0" destOrd="0" presId="urn:microsoft.com/office/officeart/2005/8/layout/orgChart1"/>
    <dgm:cxn modelId="{7083C45E-3BC4-46B3-ADE6-E11E045CA5D2}" type="presParOf" srcId="{B8D105BB-A9B5-4CF3-91AC-91E0411D9351}" destId="{21F4EC95-B400-454C-8990-BE3DCF58B679}" srcOrd="1" destOrd="0" presId="urn:microsoft.com/office/officeart/2005/8/layout/orgChart1"/>
    <dgm:cxn modelId="{8BB5D82B-8F9D-4895-9025-A32B4B1B908A}" type="presParOf" srcId="{B9F5F69A-DAFD-463B-AE70-7B7C1D12096B}" destId="{A6CD6686-F6BB-4CB0-8170-67A35AB4892B}" srcOrd="1" destOrd="0" presId="urn:microsoft.com/office/officeart/2005/8/layout/orgChart1"/>
    <dgm:cxn modelId="{F325FF99-E10F-49E5-8060-0A422F9E1659}" type="presParOf" srcId="{B9F5F69A-DAFD-463B-AE70-7B7C1D12096B}" destId="{B04056AA-93D0-4E04-BF6D-CC8AECE3DA7A}" srcOrd="2" destOrd="0" presId="urn:microsoft.com/office/officeart/2005/8/layout/orgChart1"/>
    <dgm:cxn modelId="{99E53399-C159-49BE-B1F8-95E0A29C88FD}" type="presParOf" srcId="{1E8D6AC5-5532-41E4-8604-1AD2D6B0DDD2}" destId="{67296B69-5B92-4AD8-A3DF-EB796293B9BE}" srcOrd="12" destOrd="0" presId="urn:microsoft.com/office/officeart/2005/8/layout/orgChart1"/>
    <dgm:cxn modelId="{FA78B91B-3C6E-476E-86CC-D2F273F7B636}" type="presParOf" srcId="{1E8D6AC5-5532-41E4-8604-1AD2D6B0DDD2}" destId="{DBECD75E-7420-4A36-9127-CD5C9901B10C}" srcOrd="13" destOrd="0" presId="urn:microsoft.com/office/officeart/2005/8/layout/orgChart1"/>
    <dgm:cxn modelId="{A40A5578-7699-4DE1-AE78-D030DA9539B6}" type="presParOf" srcId="{DBECD75E-7420-4A36-9127-CD5C9901B10C}" destId="{CFD1F82C-740E-4B36-B034-626B1CE7EAAE}" srcOrd="0" destOrd="0" presId="urn:microsoft.com/office/officeart/2005/8/layout/orgChart1"/>
    <dgm:cxn modelId="{DD277AF0-EA37-4346-B94F-0471492C7EB1}" type="presParOf" srcId="{CFD1F82C-740E-4B36-B034-626B1CE7EAAE}" destId="{DEE4ADA9-6824-49AE-BB2C-2CA1D49EF755}" srcOrd="0" destOrd="0" presId="urn:microsoft.com/office/officeart/2005/8/layout/orgChart1"/>
    <dgm:cxn modelId="{5F167ED9-2F7B-4BA3-9F96-1836A51D2C93}" type="presParOf" srcId="{CFD1F82C-740E-4B36-B034-626B1CE7EAAE}" destId="{2AE1F57C-9EEB-4CC3-B4B0-85DDD13A3A87}" srcOrd="1" destOrd="0" presId="urn:microsoft.com/office/officeart/2005/8/layout/orgChart1"/>
    <dgm:cxn modelId="{127A3957-BADB-407E-AD6D-ED82715E4785}" type="presParOf" srcId="{DBECD75E-7420-4A36-9127-CD5C9901B10C}" destId="{12A60082-EB5B-4B43-958D-5BE82E1BC7CF}" srcOrd="1" destOrd="0" presId="urn:microsoft.com/office/officeart/2005/8/layout/orgChart1"/>
    <dgm:cxn modelId="{D7A619C9-F182-4A11-8E12-FF1EF8912C7F}" type="presParOf" srcId="{DBECD75E-7420-4A36-9127-CD5C9901B10C}" destId="{04673A47-E4E1-4DA5-BCC4-E3988336D638}" srcOrd="2" destOrd="0" presId="urn:microsoft.com/office/officeart/2005/8/layout/orgChart1"/>
    <dgm:cxn modelId="{83E59341-7407-4A02-8C24-DC64CF0D1587}" type="presParOf" srcId="{E374F675-2EC4-4F74-A84C-F82001B0AF15}" destId="{1FA8578B-DA81-47B4-99EE-FFDF9290E223}" srcOrd="2" destOrd="0" presId="urn:microsoft.com/office/officeart/2005/8/layout/orgChart1"/>
    <dgm:cxn modelId="{C7DE8511-6DC7-4EFC-918D-43D837F966C8}" type="presParOf" srcId="{49400318-D702-4557-B5EF-037F4CB07571}" destId="{DE822372-A48C-4BA2-A644-6839E4055D14}" srcOrd="2" destOrd="0" presId="urn:microsoft.com/office/officeart/2005/8/layout/orgChart1"/>
    <dgm:cxn modelId="{91E9C618-C35B-41BA-91ED-F0926EA2FEEF}" type="presParOf" srcId="{49400318-D702-4557-B5EF-037F4CB07571}" destId="{9FBF58AD-468B-4B2C-9C44-06A68C2C7E49}" srcOrd="3" destOrd="0" presId="urn:microsoft.com/office/officeart/2005/8/layout/orgChart1"/>
    <dgm:cxn modelId="{4EC8D248-0B28-4E05-9B56-84D2A40F5B56}" type="presParOf" srcId="{9FBF58AD-468B-4B2C-9C44-06A68C2C7E49}" destId="{59990C51-1D16-4E1B-9597-8110E0C195CD}" srcOrd="0" destOrd="0" presId="urn:microsoft.com/office/officeart/2005/8/layout/orgChart1"/>
    <dgm:cxn modelId="{48CAF942-A4AF-48EC-A257-499687714D2F}" type="presParOf" srcId="{59990C51-1D16-4E1B-9597-8110E0C195CD}" destId="{256BED32-9DC0-4F29-99EC-570332BC2EF6}" srcOrd="0" destOrd="0" presId="urn:microsoft.com/office/officeart/2005/8/layout/orgChart1"/>
    <dgm:cxn modelId="{876B1FAC-0A03-44C2-A58E-49719BCBCF61}" type="presParOf" srcId="{59990C51-1D16-4E1B-9597-8110E0C195CD}" destId="{2572BC47-9EBF-460E-887A-DA2D44C24B9D}" srcOrd="1" destOrd="0" presId="urn:microsoft.com/office/officeart/2005/8/layout/orgChart1"/>
    <dgm:cxn modelId="{419F57A4-29B8-453E-A171-0764E36F68EE}" type="presParOf" srcId="{9FBF58AD-468B-4B2C-9C44-06A68C2C7E49}" destId="{763ED679-696B-4F7E-8ECF-E06CA9300E68}" srcOrd="1" destOrd="0" presId="urn:microsoft.com/office/officeart/2005/8/layout/orgChart1"/>
    <dgm:cxn modelId="{6FBE3E78-7109-4A52-9836-8528ED2AC571}" type="presParOf" srcId="{763ED679-696B-4F7E-8ECF-E06CA9300E68}" destId="{282027A8-3E90-44F9-8A2B-4453A1C7A3CE}" srcOrd="0" destOrd="0" presId="urn:microsoft.com/office/officeart/2005/8/layout/orgChart1"/>
    <dgm:cxn modelId="{9CA04DB8-0384-4F94-9AC3-18AEF88450A0}" type="presParOf" srcId="{763ED679-696B-4F7E-8ECF-E06CA9300E68}" destId="{47648477-F4E6-4030-B518-33F72AC2B000}" srcOrd="1" destOrd="0" presId="urn:microsoft.com/office/officeart/2005/8/layout/orgChart1"/>
    <dgm:cxn modelId="{C4D9DD8D-6A42-4E91-8D08-8C0A1ECDCF1B}" type="presParOf" srcId="{47648477-F4E6-4030-B518-33F72AC2B000}" destId="{A000C41D-1DF0-4B6E-9E17-21FDBD915853}" srcOrd="0" destOrd="0" presId="urn:microsoft.com/office/officeart/2005/8/layout/orgChart1"/>
    <dgm:cxn modelId="{B424B4A9-A9A1-4E0E-B112-1F10DA5D98B8}" type="presParOf" srcId="{A000C41D-1DF0-4B6E-9E17-21FDBD915853}" destId="{67213DB3-AE86-4556-9FBF-5F35C777AABE}" srcOrd="0" destOrd="0" presId="urn:microsoft.com/office/officeart/2005/8/layout/orgChart1"/>
    <dgm:cxn modelId="{0CA7BDC1-FF60-46F7-868F-D71F02929603}" type="presParOf" srcId="{A000C41D-1DF0-4B6E-9E17-21FDBD915853}" destId="{115C352B-1849-473D-B675-E86CC5F7DF45}" srcOrd="1" destOrd="0" presId="urn:microsoft.com/office/officeart/2005/8/layout/orgChart1"/>
    <dgm:cxn modelId="{3BA794E3-5D8A-42EC-AD74-3D1AEA29FF3E}" type="presParOf" srcId="{47648477-F4E6-4030-B518-33F72AC2B000}" destId="{60E334A3-A886-497B-B2DA-377387DEEB41}" srcOrd="1" destOrd="0" presId="urn:microsoft.com/office/officeart/2005/8/layout/orgChart1"/>
    <dgm:cxn modelId="{2272F300-3A22-49A1-B290-FBF73E329AF2}" type="presParOf" srcId="{47648477-F4E6-4030-B518-33F72AC2B000}" destId="{3F705CD3-50BC-4155-89FD-A3CEAB018359}" srcOrd="2" destOrd="0" presId="urn:microsoft.com/office/officeart/2005/8/layout/orgChart1"/>
    <dgm:cxn modelId="{CFE10EA6-98AD-4B66-843E-66631758DDA0}" type="presParOf" srcId="{763ED679-696B-4F7E-8ECF-E06CA9300E68}" destId="{0A957C05-994D-4657-BAED-D070E526985D}" srcOrd="2" destOrd="0" presId="urn:microsoft.com/office/officeart/2005/8/layout/orgChart1"/>
    <dgm:cxn modelId="{620288E6-20C4-42FB-A841-E3A025C56D44}" type="presParOf" srcId="{763ED679-696B-4F7E-8ECF-E06CA9300E68}" destId="{A809C203-8532-4494-9A8B-5C45C18444AC}" srcOrd="3" destOrd="0" presId="urn:microsoft.com/office/officeart/2005/8/layout/orgChart1"/>
    <dgm:cxn modelId="{BE0A14CE-A340-4CFD-A926-00EA7F698626}" type="presParOf" srcId="{A809C203-8532-4494-9A8B-5C45C18444AC}" destId="{3939359F-AB92-4139-AD40-BF189B1327B6}" srcOrd="0" destOrd="0" presId="urn:microsoft.com/office/officeart/2005/8/layout/orgChart1"/>
    <dgm:cxn modelId="{5FC95697-0298-4A1F-B543-B02F6E8D4E75}" type="presParOf" srcId="{3939359F-AB92-4139-AD40-BF189B1327B6}" destId="{6A449FB0-8ACA-4442-AF28-A96A2E21CFD0}" srcOrd="0" destOrd="0" presId="urn:microsoft.com/office/officeart/2005/8/layout/orgChart1"/>
    <dgm:cxn modelId="{9762B6E2-4BE8-4BBE-A548-EC763C4EEF6D}" type="presParOf" srcId="{3939359F-AB92-4139-AD40-BF189B1327B6}" destId="{6E7AE551-E3FE-4193-A5D5-24047FB06374}" srcOrd="1" destOrd="0" presId="urn:microsoft.com/office/officeart/2005/8/layout/orgChart1"/>
    <dgm:cxn modelId="{0BDA168D-3950-475B-A138-AB0946386E4E}" type="presParOf" srcId="{A809C203-8532-4494-9A8B-5C45C18444AC}" destId="{D413E8BB-4F70-4C5C-ADC4-4D6D04C6FE65}" srcOrd="1" destOrd="0" presId="urn:microsoft.com/office/officeart/2005/8/layout/orgChart1"/>
    <dgm:cxn modelId="{1516BBF5-F65E-443D-A4F6-194250B1D64D}" type="presParOf" srcId="{A809C203-8532-4494-9A8B-5C45C18444AC}" destId="{889CE6A9-76BA-4E32-964F-33D6E901CE09}" srcOrd="2" destOrd="0" presId="urn:microsoft.com/office/officeart/2005/8/layout/orgChart1"/>
    <dgm:cxn modelId="{5E1F1F08-BB8F-4629-A3EA-1E2212F04FF5}" type="presParOf" srcId="{763ED679-696B-4F7E-8ECF-E06CA9300E68}" destId="{942660A8-481C-44E5-BF2A-024AB741918C}" srcOrd="4" destOrd="0" presId="urn:microsoft.com/office/officeart/2005/8/layout/orgChart1"/>
    <dgm:cxn modelId="{A597582D-5CD2-412C-983E-463B94247A61}" type="presParOf" srcId="{763ED679-696B-4F7E-8ECF-E06CA9300E68}" destId="{B6C2EF95-EF68-4F9F-B5C0-D32A922DCD15}" srcOrd="5" destOrd="0" presId="urn:microsoft.com/office/officeart/2005/8/layout/orgChart1"/>
    <dgm:cxn modelId="{7DCD0F51-DF09-4389-AE3E-C2ED17F52E76}" type="presParOf" srcId="{B6C2EF95-EF68-4F9F-B5C0-D32A922DCD15}" destId="{12EEC594-BF7D-48DA-9E58-2A982FDD6FCE}" srcOrd="0" destOrd="0" presId="urn:microsoft.com/office/officeart/2005/8/layout/orgChart1"/>
    <dgm:cxn modelId="{1A282381-CE2D-411A-8C3F-C035FA8C724A}" type="presParOf" srcId="{12EEC594-BF7D-48DA-9E58-2A982FDD6FCE}" destId="{79C0AC3B-7363-4806-81AE-14FF31A20713}" srcOrd="0" destOrd="0" presId="urn:microsoft.com/office/officeart/2005/8/layout/orgChart1"/>
    <dgm:cxn modelId="{6CA1003E-67B3-4594-A459-C46A29FEA2D3}" type="presParOf" srcId="{12EEC594-BF7D-48DA-9E58-2A982FDD6FCE}" destId="{5BBC1AFF-88F9-4A8D-8FB0-625A9111CC75}" srcOrd="1" destOrd="0" presId="urn:microsoft.com/office/officeart/2005/8/layout/orgChart1"/>
    <dgm:cxn modelId="{820EABFB-1DED-4C75-BC0E-15CC362B432A}" type="presParOf" srcId="{B6C2EF95-EF68-4F9F-B5C0-D32A922DCD15}" destId="{898596DC-E7BE-41ED-BAEF-51E9E271CFD8}" srcOrd="1" destOrd="0" presId="urn:microsoft.com/office/officeart/2005/8/layout/orgChart1"/>
    <dgm:cxn modelId="{BB5ED6BA-31AA-4889-B266-B63425793E35}" type="presParOf" srcId="{B6C2EF95-EF68-4F9F-B5C0-D32A922DCD15}" destId="{ED34BA60-41A2-4A4D-9945-E455B72EB58F}" srcOrd="2" destOrd="0" presId="urn:microsoft.com/office/officeart/2005/8/layout/orgChart1"/>
    <dgm:cxn modelId="{D884E312-5F74-4059-A3CC-E9F07D9D7E6D}" type="presParOf" srcId="{763ED679-696B-4F7E-8ECF-E06CA9300E68}" destId="{EE034DB2-1B9D-49AC-A7E9-0B6784A172BC}" srcOrd="6" destOrd="0" presId="urn:microsoft.com/office/officeart/2005/8/layout/orgChart1"/>
    <dgm:cxn modelId="{4E862DD2-1D59-4C39-9E2E-0DEDCF8461FE}" type="presParOf" srcId="{763ED679-696B-4F7E-8ECF-E06CA9300E68}" destId="{C49D1FF3-5481-4E3E-BEBD-FB0D10540AB4}" srcOrd="7" destOrd="0" presId="urn:microsoft.com/office/officeart/2005/8/layout/orgChart1"/>
    <dgm:cxn modelId="{FE483E02-1780-4F41-9CF5-09D00CA3102D}" type="presParOf" srcId="{C49D1FF3-5481-4E3E-BEBD-FB0D10540AB4}" destId="{FBE29AC4-EAAA-443A-8DCD-8AB6908490F7}" srcOrd="0" destOrd="0" presId="urn:microsoft.com/office/officeart/2005/8/layout/orgChart1"/>
    <dgm:cxn modelId="{A332BB51-2AB5-473F-B54E-3935A1D8E287}" type="presParOf" srcId="{FBE29AC4-EAAA-443A-8DCD-8AB6908490F7}" destId="{F749C274-C20E-4C56-8643-81FAF1228ABA}" srcOrd="0" destOrd="0" presId="urn:microsoft.com/office/officeart/2005/8/layout/orgChart1"/>
    <dgm:cxn modelId="{0515F9AD-C0E9-4D5C-8E9E-3B9DDA7884A0}" type="presParOf" srcId="{FBE29AC4-EAAA-443A-8DCD-8AB6908490F7}" destId="{76A6DA95-33CE-4B86-BCEF-3E8BFE5F8C8C}" srcOrd="1" destOrd="0" presId="urn:microsoft.com/office/officeart/2005/8/layout/orgChart1"/>
    <dgm:cxn modelId="{49679B29-25E6-441A-9568-A9F9FE421FF4}" type="presParOf" srcId="{C49D1FF3-5481-4E3E-BEBD-FB0D10540AB4}" destId="{50351072-F675-4790-B07D-3C2965394CFE}" srcOrd="1" destOrd="0" presId="urn:microsoft.com/office/officeart/2005/8/layout/orgChart1"/>
    <dgm:cxn modelId="{F3F89B5D-447D-4E41-8CD7-F18F14B2F028}" type="presParOf" srcId="{C49D1FF3-5481-4E3E-BEBD-FB0D10540AB4}" destId="{B3126A43-4771-48A3-B842-1052655E3E4D}" srcOrd="2" destOrd="0" presId="urn:microsoft.com/office/officeart/2005/8/layout/orgChart1"/>
    <dgm:cxn modelId="{497CBA80-3A0E-4EAC-8557-5DF30D31610F}" type="presParOf" srcId="{9FBF58AD-468B-4B2C-9C44-06A68C2C7E49}" destId="{4C7BB692-D028-4B8D-B386-D4A3477A4BD0}" srcOrd="2" destOrd="0" presId="urn:microsoft.com/office/officeart/2005/8/layout/orgChart1"/>
    <dgm:cxn modelId="{75BE12AB-612C-4686-9137-1322D6B097E3}" type="presParOf" srcId="{49400318-D702-4557-B5EF-037F4CB07571}" destId="{B93A9DA3-5D97-4290-A2AB-F85B3A89546F}" srcOrd="4" destOrd="0" presId="urn:microsoft.com/office/officeart/2005/8/layout/orgChart1"/>
    <dgm:cxn modelId="{9580DE23-8A0B-4541-B263-21B0CE7F1373}" type="presParOf" srcId="{49400318-D702-4557-B5EF-037F4CB07571}" destId="{0D481396-5827-46AC-AC1D-14AF9C371B99}" srcOrd="5" destOrd="0" presId="urn:microsoft.com/office/officeart/2005/8/layout/orgChart1"/>
    <dgm:cxn modelId="{8CCD31D3-83E7-4339-A89D-B40AF2D950CF}" type="presParOf" srcId="{0D481396-5827-46AC-AC1D-14AF9C371B99}" destId="{3FE0435B-35D9-4EA6-A27B-B72422172C42}" srcOrd="0" destOrd="0" presId="urn:microsoft.com/office/officeart/2005/8/layout/orgChart1"/>
    <dgm:cxn modelId="{CA746116-8713-4618-ACC6-911736731F4C}" type="presParOf" srcId="{3FE0435B-35D9-4EA6-A27B-B72422172C42}" destId="{1B8D084A-5E64-4227-8AA1-46976866E2F0}" srcOrd="0" destOrd="0" presId="urn:microsoft.com/office/officeart/2005/8/layout/orgChart1"/>
    <dgm:cxn modelId="{BD546428-8A1D-4DE8-AB66-3A99B59EEDBD}" type="presParOf" srcId="{3FE0435B-35D9-4EA6-A27B-B72422172C42}" destId="{DB6DFD31-8ED0-45B2-A94F-FF8C1EAC10B0}" srcOrd="1" destOrd="0" presId="urn:microsoft.com/office/officeart/2005/8/layout/orgChart1"/>
    <dgm:cxn modelId="{ACFB1EC2-D14A-4686-9F9E-E6B55C32C157}" type="presParOf" srcId="{0D481396-5827-46AC-AC1D-14AF9C371B99}" destId="{8E47E593-57D8-4F96-B4CA-C49ADD9C4D77}" srcOrd="1" destOrd="0" presId="urn:microsoft.com/office/officeart/2005/8/layout/orgChart1"/>
    <dgm:cxn modelId="{BF925CEF-9E0D-42B5-B7E0-F1233118970D}" type="presParOf" srcId="{8E47E593-57D8-4F96-B4CA-C49ADD9C4D77}" destId="{EA5668C6-28E3-4F20-9B2F-C4347CA5EE73}" srcOrd="0" destOrd="0" presId="urn:microsoft.com/office/officeart/2005/8/layout/orgChart1"/>
    <dgm:cxn modelId="{88758597-CEF3-4041-B379-19FD42C30080}" type="presParOf" srcId="{8E47E593-57D8-4F96-B4CA-C49ADD9C4D77}" destId="{408422EB-06F3-4734-B115-284E9C3BC4F5}" srcOrd="1" destOrd="0" presId="urn:microsoft.com/office/officeart/2005/8/layout/orgChart1"/>
    <dgm:cxn modelId="{36D7B3F6-8624-4CBD-911C-46ADBE13A470}" type="presParOf" srcId="{408422EB-06F3-4734-B115-284E9C3BC4F5}" destId="{5BED3601-2614-47F3-9D4F-B926BA5ACCE3}" srcOrd="0" destOrd="0" presId="urn:microsoft.com/office/officeart/2005/8/layout/orgChart1"/>
    <dgm:cxn modelId="{4B6E52E7-4C35-4276-8AF2-E6A10FBABFBE}" type="presParOf" srcId="{5BED3601-2614-47F3-9D4F-B926BA5ACCE3}" destId="{3A815C92-D8B5-4F9F-BFBB-C6857FDC1142}" srcOrd="0" destOrd="0" presId="urn:microsoft.com/office/officeart/2005/8/layout/orgChart1"/>
    <dgm:cxn modelId="{011A3562-F464-45B2-B51B-942DDB793457}" type="presParOf" srcId="{5BED3601-2614-47F3-9D4F-B926BA5ACCE3}" destId="{9638C91A-6F99-400C-AF26-D7CF687A424A}" srcOrd="1" destOrd="0" presId="urn:microsoft.com/office/officeart/2005/8/layout/orgChart1"/>
    <dgm:cxn modelId="{871DB9A6-FAFA-4BC5-844D-8595548120AA}" type="presParOf" srcId="{408422EB-06F3-4734-B115-284E9C3BC4F5}" destId="{49B354D5-6901-4244-8612-C283CD6D9ADF}" srcOrd="1" destOrd="0" presId="urn:microsoft.com/office/officeart/2005/8/layout/orgChart1"/>
    <dgm:cxn modelId="{B65BBBE8-5100-4AB7-AFF9-787489C542EC}" type="presParOf" srcId="{408422EB-06F3-4734-B115-284E9C3BC4F5}" destId="{E2BEB42D-81F2-4F9C-BB13-82D8AB9C69B7}" srcOrd="2" destOrd="0" presId="urn:microsoft.com/office/officeart/2005/8/layout/orgChart1"/>
    <dgm:cxn modelId="{C32965CE-5643-4256-8A09-5DAA063CEDB9}" type="presParOf" srcId="{8E47E593-57D8-4F96-B4CA-C49ADD9C4D77}" destId="{879DAD1E-324F-4CBD-BB38-9A21D24EBF88}" srcOrd="2" destOrd="0" presId="urn:microsoft.com/office/officeart/2005/8/layout/orgChart1"/>
    <dgm:cxn modelId="{E0D11623-6DEA-4F89-87D8-27FD7913CE2C}" type="presParOf" srcId="{8E47E593-57D8-4F96-B4CA-C49ADD9C4D77}" destId="{26C4BEB7-D5AA-4225-BD63-5461C4F3023B}" srcOrd="3" destOrd="0" presId="urn:microsoft.com/office/officeart/2005/8/layout/orgChart1"/>
    <dgm:cxn modelId="{8B1ADBE3-C6F9-412E-B945-EBA0FCC1E190}" type="presParOf" srcId="{26C4BEB7-D5AA-4225-BD63-5461C4F3023B}" destId="{495B7C63-85C8-4134-9671-72520E92208C}" srcOrd="0" destOrd="0" presId="urn:microsoft.com/office/officeart/2005/8/layout/orgChart1"/>
    <dgm:cxn modelId="{2B168D4D-8094-487D-AF75-58A5DD38F549}" type="presParOf" srcId="{495B7C63-85C8-4134-9671-72520E92208C}" destId="{C808DAF5-007B-424C-B8AF-8FE9C721018F}" srcOrd="0" destOrd="0" presId="urn:microsoft.com/office/officeart/2005/8/layout/orgChart1"/>
    <dgm:cxn modelId="{5B4F4F2B-8B99-4A4B-AED3-AD6C8D57870F}" type="presParOf" srcId="{495B7C63-85C8-4134-9671-72520E92208C}" destId="{C78889E6-0B7A-4069-9D81-33F1542E363F}" srcOrd="1" destOrd="0" presId="urn:microsoft.com/office/officeart/2005/8/layout/orgChart1"/>
    <dgm:cxn modelId="{A92FB67D-237B-4B38-8D02-3744DC8A5D27}" type="presParOf" srcId="{26C4BEB7-D5AA-4225-BD63-5461C4F3023B}" destId="{FB04B426-EFAE-44B7-BED9-77BC73DE56C0}" srcOrd="1" destOrd="0" presId="urn:microsoft.com/office/officeart/2005/8/layout/orgChart1"/>
    <dgm:cxn modelId="{51D5E9DD-57D3-4507-B57F-344D9EB4C54D}" type="presParOf" srcId="{26C4BEB7-D5AA-4225-BD63-5461C4F3023B}" destId="{0E40410F-C88B-4BDD-8C5D-A47D7F94DFBE}" srcOrd="2" destOrd="0" presId="urn:microsoft.com/office/officeart/2005/8/layout/orgChart1"/>
    <dgm:cxn modelId="{C2D3B3A7-AE2F-4B86-B5C7-6AF5A8B3840E}" type="presParOf" srcId="{8E47E593-57D8-4F96-B4CA-C49ADD9C4D77}" destId="{50ABCFFC-29E8-4D6E-8965-3362DE5BD75D}" srcOrd="4" destOrd="0" presId="urn:microsoft.com/office/officeart/2005/8/layout/orgChart1"/>
    <dgm:cxn modelId="{8D0F677B-A8C1-4E0B-8AA9-4CA256DB0A13}" type="presParOf" srcId="{8E47E593-57D8-4F96-B4CA-C49ADD9C4D77}" destId="{0AA18604-44B0-4E7F-98B6-6CA7B861041A}" srcOrd="5" destOrd="0" presId="urn:microsoft.com/office/officeart/2005/8/layout/orgChart1"/>
    <dgm:cxn modelId="{A082B0EC-6762-492E-B515-571074FD0E8F}" type="presParOf" srcId="{0AA18604-44B0-4E7F-98B6-6CA7B861041A}" destId="{F8FD6B2B-A48B-4BC0-843E-7C565B5F6C7F}" srcOrd="0" destOrd="0" presId="urn:microsoft.com/office/officeart/2005/8/layout/orgChart1"/>
    <dgm:cxn modelId="{380DB040-2DF0-4419-BBA2-DBF1F3E9D15D}" type="presParOf" srcId="{F8FD6B2B-A48B-4BC0-843E-7C565B5F6C7F}" destId="{7989FF66-9F60-46CB-ACCC-307936E85A62}" srcOrd="0" destOrd="0" presId="urn:microsoft.com/office/officeart/2005/8/layout/orgChart1"/>
    <dgm:cxn modelId="{B7907E6C-DC6E-4ABF-9B5E-AFA4D28595B6}" type="presParOf" srcId="{F8FD6B2B-A48B-4BC0-843E-7C565B5F6C7F}" destId="{C7D01E39-D438-4A03-8BC9-8245C628793F}" srcOrd="1" destOrd="0" presId="urn:microsoft.com/office/officeart/2005/8/layout/orgChart1"/>
    <dgm:cxn modelId="{884F6D76-8C01-44AA-B318-A7ABE6210EE6}" type="presParOf" srcId="{0AA18604-44B0-4E7F-98B6-6CA7B861041A}" destId="{3F72C6D4-8C29-4806-8097-B7D52DACCA8B}" srcOrd="1" destOrd="0" presId="urn:microsoft.com/office/officeart/2005/8/layout/orgChart1"/>
    <dgm:cxn modelId="{F820B019-7143-470D-B812-EB9A84BA0742}" type="presParOf" srcId="{0AA18604-44B0-4E7F-98B6-6CA7B861041A}" destId="{D83B3CCD-3CC6-4375-B4BD-0E20EE3DC40A}" srcOrd="2" destOrd="0" presId="urn:microsoft.com/office/officeart/2005/8/layout/orgChart1"/>
    <dgm:cxn modelId="{00EF2294-9986-4FF5-A1C4-E517E30B5152}" type="presParOf" srcId="{8E47E593-57D8-4F96-B4CA-C49ADD9C4D77}" destId="{5BA5E2B5-1080-4877-A9FD-EC40A90BDFA5}" srcOrd="6" destOrd="0" presId="urn:microsoft.com/office/officeart/2005/8/layout/orgChart1"/>
    <dgm:cxn modelId="{46BDD95F-6A15-4BB6-8ECC-D5104F106E6C}" type="presParOf" srcId="{8E47E593-57D8-4F96-B4CA-C49ADD9C4D77}" destId="{83A84B2A-F5E3-4C0C-A0CD-D68B4D897ACC}" srcOrd="7" destOrd="0" presId="urn:microsoft.com/office/officeart/2005/8/layout/orgChart1"/>
    <dgm:cxn modelId="{72D1D211-07CE-43D9-9D54-9A688180DAEC}" type="presParOf" srcId="{83A84B2A-F5E3-4C0C-A0CD-D68B4D897ACC}" destId="{D7CAF98A-2204-4939-B5AF-678B929ED9B3}" srcOrd="0" destOrd="0" presId="urn:microsoft.com/office/officeart/2005/8/layout/orgChart1"/>
    <dgm:cxn modelId="{0CDF4A23-7EBE-481D-BD3F-C3CA55BB3775}" type="presParOf" srcId="{D7CAF98A-2204-4939-B5AF-678B929ED9B3}" destId="{FAFDCDCE-E742-4F5C-9042-47A3210826AF}" srcOrd="0" destOrd="0" presId="urn:microsoft.com/office/officeart/2005/8/layout/orgChart1"/>
    <dgm:cxn modelId="{97DFD9DA-02BB-4B05-9B9E-EE0EBA09AF5A}" type="presParOf" srcId="{D7CAF98A-2204-4939-B5AF-678B929ED9B3}" destId="{7C7EDA97-890E-438B-8693-45DB74A7BE27}" srcOrd="1" destOrd="0" presId="urn:microsoft.com/office/officeart/2005/8/layout/orgChart1"/>
    <dgm:cxn modelId="{45B872F7-643F-4DF7-ABA8-E044F112777C}" type="presParOf" srcId="{83A84B2A-F5E3-4C0C-A0CD-D68B4D897ACC}" destId="{0F7F2B65-6381-4E0B-818D-B3AF776F40E7}" srcOrd="1" destOrd="0" presId="urn:microsoft.com/office/officeart/2005/8/layout/orgChart1"/>
    <dgm:cxn modelId="{EBC15379-DE77-457A-8958-A23BAE0EFB5F}" type="presParOf" srcId="{83A84B2A-F5E3-4C0C-A0CD-D68B4D897ACC}" destId="{B50B39E1-18C0-4C8C-A3C5-4BD49E4041B8}" srcOrd="2" destOrd="0" presId="urn:microsoft.com/office/officeart/2005/8/layout/orgChart1"/>
    <dgm:cxn modelId="{6951BCE7-AB26-4E10-A305-A69C0DB2909E}" type="presParOf" srcId="{0D481396-5827-46AC-AC1D-14AF9C371B99}" destId="{B9F30A9F-C958-45D2-BDD0-1647B18AFBE0}" srcOrd="2" destOrd="0" presId="urn:microsoft.com/office/officeart/2005/8/layout/orgChart1"/>
    <dgm:cxn modelId="{56839AF4-B446-4131-A4E4-48DD18382F5A}" type="presParOf" srcId="{49400318-D702-4557-B5EF-037F4CB07571}" destId="{9B8189D4-1EF2-475C-B613-8260DFDA68B3}" srcOrd="6" destOrd="0" presId="urn:microsoft.com/office/officeart/2005/8/layout/orgChart1"/>
    <dgm:cxn modelId="{16A1DA4B-2212-4108-94F7-07F5A7461F84}" type="presParOf" srcId="{49400318-D702-4557-B5EF-037F4CB07571}" destId="{4A168FF6-E1C5-450B-821F-EC438A6E089F}" srcOrd="7" destOrd="0" presId="urn:microsoft.com/office/officeart/2005/8/layout/orgChart1"/>
    <dgm:cxn modelId="{59C21050-0FB5-4DFB-B836-40237E569E21}" type="presParOf" srcId="{4A168FF6-E1C5-450B-821F-EC438A6E089F}" destId="{1FD1F5E1-095B-431C-B4C9-E7F19D130E0A}" srcOrd="0" destOrd="0" presId="urn:microsoft.com/office/officeart/2005/8/layout/orgChart1"/>
    <dgm:cxn modelId="{DA47B221-CCED-4E43-A543-F6F9C973A931}" type="presParOf" srcId="{1FD1F5E1-095B-431C-B4C9-E7F19D130E0A}" destId="{3B4006D6-959F-4E14-82BA-F0259EFFF137}" srcOrd="0" destOrd="0" presId="urn:microsoft.com/office/officeart/2005/8/layout/orgChart1"/>
    <dgm:cxn modelId="{8A8D1941-36CD-4A3F-9CE4-1414495E09A5}" type="presParOf" srcId="{1FD1F5E1-095B-431C-B4C9-E7F19D130E0A}" destId="{238763FC-3FDB-418C-9B42-E0B626CBDF8F}" srcOrd="1" destOrd="0" presId="urn:microsoft.com/office/officeart/2005/8/layout/orgChart1"/>
    <dgm:cxn modelId="{2D3506EF-EA3F-4D9A-BF04-4B4A1C5BE036}" type="presParOf" srcId="{4A168FF6-E1C5-450B-821F-EC438A6E089F}" destId="{B382B4DB-C42B-4ECE-B67A-0A27F355E959}" srcOrd="1" destOrd="0" presId="urn:microsoft.com/office/officeart/2005/8/layout/orgChart1"/>
    <dgm:cxn modelId="{DED735DE-0C7D-43EC-9422-8EB54758E61C}" type="presParOf" srcId="{B382B4DB-C42B-4ECE-B67A-0A27F355E959}" destId="{11997D6A-465A-45C6-A0DF-F337D8CF8718}" srcOrd="0" destOrd="0" presId="urn:microsoft.com/office/officeart/2005/8/layout/orgChart1"/>
    <dgm:cxn modelId="{F7842B82-4B3C-43E3-BEBF-D8C942750CBA}" type="presParOf" srcId="{B382B4DB-C42B-4ECE-B67A-0A27F355E959}" destId="{57CAE02F-16C9-4FE4-A36D-EE24BDC4830F}" srcOrd="1" destOrd="0" presId="urn:microsoft.com/office/officeart/2005/8/layout/orgChart1"/>
    <dgm:cxn modelId="{24B12953-452F-4811-9B13-3829ED2356A8}" type="presParOf" srcId="{57CAE02F-16C9-4FE4-A36D-EE24BDC4830F}" destId="{E1F8D31F-4319-4C2D-8847-E0E4D4A281D5}" srcOrd="0" destOrd="0" presId="urn:microsoft.com/office/officeart/2005/8/layout/orgChart1"/>
    <dgm:cxn modelId="{723182A0-186C-4F8E-A714-B505E459CE30}" type="presParOf" srcId="{E1F8D31F-4319-4C2D-8847-E0E4D4A281D5}" destId="{4D573F0E-FFFE-4F4C-B8F3-9709269791EA}" srcOrd="0" destOrd="0" presId="urn:microsoft.com/office/officeart/2005/8/layout/orgChart1"/>
    <dgm:cxn modelId="{5C55981F-5289-4129-BD9A-3CD4C09B8FF0}" type="presParOf" srcId="{E1F8D31F-4319-4C2D-8847-E0E4D4A281D5}" destId="{D73594A3-6020-41BB-9BF6-A67A6A6C62C0}" srcOrd="1" destOrd="0" presId="urn:microsoft.com/office/officeart/2005/8/layout/orgChart1"/>
    <dgm:cxn modelId="{B4C9D585-AE3C-4912-92D5-7D63A99C5F71}" type="presParOf" srcId="{57CAE02F-16C9-4FE4-A36D-EE24BDC4830F}" destId="{8C87EAE2-E677-4331-9306-07D006814D2F}" srcOrd="1" destOrd="0" presId="urn:microsoft.com/office/officeart/2005/8/layout/orgChart1"/>
    <dgm:cxn modelId="{E5A452A6-BA4B-416F-9246-A72B6FEFD869}" type="presParOf" srcId="{57CAE02F-16C9-4FE4-A36D-EE24BDC4830F}" destId="{FE9335F6-B077-4011-848C-B20644888183}" srcOrd="2" destOrd="0" presId="urn:microsoft.com/office/officeart/2005/8/layout/orgChart1"/>
    <dgm:cxn modelId="{C80A2773-6467-41B0-884D-1464320F1513}" type="presParOf" srcId="{B382B4DB-C42B-4ECE-B67A-0A27F355E959}" destId="{EC62EB6B-4A5A-467E-BF2C-A1B79BCBE15D}" srcOrd="2" destOrd="0" presId="urn:microsoft.com/office/officeart/2005/8/layout/orgChart1"/>
    <dgm:cxn modelId="{E53680E0-2DDE-4B10-B1CB-0B197925ED22}" type="presParOf" srcId="{B382B4DB-C42B-4ECE-B67A-0A27F355E959}" destId="{8BFE5A13-7914-4FA9-86AD-02F765BD9874}" srcOrd="3" destOrd="0" presId="urn:microsoft.com/office/officeart/2005/8/layout/orgChart1"/>
    <dgm:cxn modelId="{CED7A533-6293-43BE-B224-BAACE2CCA62E}" type="presParOf" srcId="{8BFE5A13-7914-4FA9-86AD-02F765BD9874}" destId="{6C2A8E3B-C881-4550-BC76-2681F9BB9CCF}" srcOrd="0" destOrd="0" presId="urn:microsoft.com/office/officeart/2005/8/layout/orgChart1"/>
    <dgm:cxn modelId="{AF62BC5D-514E-4B3F-BA67-AD4F500A1431}" type="presParOf" srcId="{6C2A8E3B-C881-4550-BC76-2681F9BB9CCF}" destId="{A2759D17-BBBC-41C5-AA1C-A657446A9475}" srcOrd="0" destOrd="0" presId="urn:microsoft.com/office/officeart/2005/8/layout/orgChart1"/>
    <dgm:cxn modelId="{4F80A96A-CAEB-4E1F-A3A4-F6B8D1DA5113}" type="presParOf" srcId="{6C2A8E3B-C881-4550-BC76-2681F9BB9CCF}" destId="{546A1C11-C9EE-46C5-9D6B-FCA591E8B03A}" srcOrd="1" destOrd="0" presId="urn:microsoft.com/office/officeart/2005/8/layout/orgChart1"/>
    <dgm:cxn modelId="{62F1B055-2CF1-48C1-A42A-0DDDD9A8E9DB}" type="presParOf" srcId="{8BFE5A13-7914-4FA9-86AD-02F765BD9874}" destId="{EAD10AFE-D838-434B-BACE-86000EA6CDC0}" srcOrd="1" destOrd="0" presId="urn:microsoft.com/office/officeart/2005/8/layout/orgChart1"/>
    <dgm:cxn modelId="{F531AA96-4C9A-48CC-8E2A-05BBE9584A9F}" type="presParOf" srcId="{8BFE5A13-7914-4FA9-86AD-02F765BD9874}" destId="{A7D48EC1-890F-4FA0-BC42-69B74D90A87A}" srcOrd="2" destOrd="0" presId="urn:microsoft.com/office/officeart/2005/8/layout/orgChart1"/>
    <dgm:cxn modelId="{45277971-4E81-4D64-BD52-BBF6EA3C5D91}" type="presParOf" srcId="{B382B4DB-C42B-4ECE-B67A-0A27F355E959}" destId="{2F8A8082-B83C-4BEF-8C5A-9ECF10C669CA}" srcOrd="4" destOrd="0" presId="urn:microsoft.com/office/officeart/2005/8/layout/orgChart1"/>
    <dgm:cxn modelId="{A77A7847-D578-483A-8F66-A981D7D6F76E}" type="presParOf" srcId="{B382B4DB-C42B-4ECE-B67A-0A27F355E959}" destId="{C7ED5503-B10F-4F9F-B213-F64DF7FDB0D4}" srcOrd="5" destOrd="0" presId="urn:microsoft.com/office/officeart/2005/8/layout/orgChart1"/>
    <dgm:cxn modelId="{827E63CA-2ED1-4A13-9B78-6B650F786CCA}" type="presParOf" srcId="{C7ED5503-B10F-4F9F-B213-F64DF7FDB0D4}" destId="{55A57C26-603A-45E4-A982-D1AEEAB42AE2}" srcOrd="0" destOrd="0" presId="urn:microsoft.com/office/officeart/2005/8/layout/orgChart1"/>
    <dgm:cxn modelId="{DED7BCA4-9479-42DA-B34A-6DA46D7AFDF7}" type="presParOf" srcId="{55A57C26-603A-45E4-A982-D1AEEAB42AE2}" destId="{B1FCD531-9A95-4D48-8038-660AD4F8AB2B}" srcOrd="0" destOrd="0" presId="urn:microsoft.com/office/officeart/2005/8/layout/orgChart1"/>
    <dgm:cxn modelId="{BA8D9147-8EC8-427F-A643-C5B40B35992B}" type="presParOf" srcId="{55A57C26-603A-45E4-A982-D1AEEAB42AE2}" destId="{0BFA7D93-9E4C-45AB-820E-8E2293D29D07}" srcOrd="1" destOrd="0" presId="urn:microsoft.com/office/officeart/2005/8/layout/orgChart1"/>
    <dgm:cxn modelId="{6DC37B3E-014A-4665-BF9A-B933F7769861}" type="presParOf" srcId="{C7ED5503-B10F-4F9F-B213-F64DF7FDB0D4}" destId="{D3BEEAEB-6FBA-4B55-8420-F27F6F7236DB}" srcOrd="1" destOrd="0" presId="urn:microsoft.com/office/officeart/2005/8/layout/orgChart1"/>
    <dgm:cxn modelId="{AC859663-18EE-48DC-920D-7ECC1831B9E5}" type="presParOf" srcId="{C7ED5503-B10F-4F9F-B213-F64DF7FDB0D4}" destId="{460C2966-0DCD-4B28-AEAF-CBA8CADDBD96}" srcOrd="2" destOrd="0" presId="urn:microsoft.com/office/officeart/2005/8/layout/orgChart1"/>
    <dgm:cxn modelId="{ACF8D591-0F2A-4B4C-928C-8B0C63D4A78B}" type="presParOf" srcId="{B382B4DB-C42B-4ECE-B67A-0A27F355E959}" destId="{7F68D7C4-A3B5-42BC-9E1D-AA5F77A5491E}" srcOrd="6" destOrd="0" presId="urn:microsoft.com/office/officeart/2005/8/layout/orgChart1"/>
    <dgm:cxn modelId="{E778884C-D559-4F43-ADCB-57832A764983}" type="presParOf" srcId="{B382B4DB-C42B-4ECE-B67A-0A27F355E959}" destId="{C9C1D77F-0F3B-4152-9CA5-99E5BD451200}" srcOrd="7" destOrd="0" presId="urn:microsoft.com/office/officeart/2005/8/layout/orgChart1"/>
    <dgm:cxn modelId="{6F21CA77-E9FA-4D6D-BCAB-BEF8D476D4AF}" type="presParOf" srcId="{C9C1D77F-0F3B-4152-9CA5-99E5BD451200}" destId="{8972E5F5-CA79-4DD6-9616-B8544345C7DA}" srcOrd="0" destOrd="0" presId="urn:microsoft.com/office/officeart/2005/8/layout/orgChart1"/>
    <dgm:cxn modelId="{35E7ADC6-1B04-455B-9728-0DD63E7C7D5E}" type="presParOf" srcId="{8972E5F5-CA79-4DD6-9616-B8544345C7DA}" destId="{19AA5BE0-6440-4746-8832-09CB958D92DF}" srcOrd="0" destOrd="0" presId="urn:microsoft.com/office/officeart/2005/8/layout/orgChart1"/>
    <dgm:cxn modelId="{3A1E18E8-28BC-416C-9CF8-CA7B9CADDF3C}" type="presParOf" srcId="{8972E5F5-CA79-4DD6-9616-B8544345C7DA}" destId="{7A045811-15A8-4399-A5CC-917779C010F3}" srcOrd="1" destOrd="0" presId="urn:microsoft.com/office/officeart/2005/8/layout/orgChart1"/>
    <dgm:cxn modelId="{F7BB0173-13EB-4B0B-9311-E05D8B2D169B}" type="presParOf" srcId="{C9C1D77F-0F3B-4152-9CA5-99E5BD451200}" destId="{6F9F326F-04D1-4E99-9020-18A01E8D816E}" srcOrd="1" destOrd="0" presId="urn:microsoft.com/office/officeart/2005/8/layout/orgChart1"/>
    <dgm:cxn modelId="{4058D4BE-9594-44D7-848F-CD553AF5D53F}" type="presParOf" srcId="{C9C1D77F-0F3B-4152-9CA5-99E5BD451200}" destId="{ED1DC5C4-0385-4728-B258-32F58EE192B5}" srcOrd="2" destOrd="0" presId="urn:microsoft.com/office/officeart/2005/8/layout/orgChart1"/>
    <dgm:cxn modelId="{237FCD77-0386-45EB-AFDE-5F334610C5CC}" type="presParOf" srcId="{B382B4DB-C42B-4ECE-B67A-0A27F355E959}" destId="{C7E0782B-F175-47B9-A280-09E5C1F5D874}" srcOrd="8" destOrd="0" presId="urn:microsoft.com/office/officeart/2005/8/layout/orgChart1"/>
    <dgm:cxn modelId="{2142CBA8-285A-48F4-9CBE-BB5D5F5D2B58}" type="presParOf" srcId="{B382B4DB-C42B-4ECE-B67A-0A27F355E959}" destId="{C7909140-021C-4251-B540-59DF6B928E35}" srcOrd="9" destOrd="0" presId="urn:microsoft.com/office/officeart/2005/8/layout/orgChart1"/>
    <dgm:cxn modelId="{AD95FCB5-4B37-4BC5-8983-0F9BAD14BC34}" type="presParOf" srcId="{C7909140-021C-4251-B540-59DF6B928E35}" destId="{F60D4870-2A51-4E4A-A7EB-3CA40A86D1AB}" srcOrd="0" destOrd="0" presId="urn:microsoft.com/office/officeart/2005/8/layout/orgChart1"/>
    <dgm:cxn modelId="{C9C4B7B7-0F5D-4E3A-A22A-D2C277AEAAB7}" type="presParOf" srcId="{F60D4870-2A51-4E4A-A7EB-3CA40A86D1AB}" destId="{CCC553FB-15F4-413A-8847-94F5B2AD648E}" srcOrd="0" destOrd="0" presId="urn:microsoft.com/office/officeart/2005/8/layout/orgChart1"/>
    <dgm:cxn modelId="{BB04BD52-55BB-4B87-B948-584B88DBBED8}" type="presParOf" srcId="{F60D4870-2A51-4E4A-A7EB-3CA40A86D1AB}" destId="{B84FA9F6-AB21-4BCE-A6E6-3D6EB4FD062A}" srcOrd="1" destOrd="0" presId="urn:microsoft.com/office/officeart/2005/8/layout/orgChart1"/>
    <dgm:cxn modelId="{1EE8BBB5-F383-4C9D-8030-F4C17ED95594}" type="presParOf" srcId="{C7909140-021C-4251-B540-59DF6B928E35}" destId="{556DBBD6-8AFA-42C6-AD8B-2DC4D2A62678}" srcOrd="1" destOrd="0" presId="urn:microsoft.com/office/officeart/2005/8/layout/orgChart1"/>
    <dgm:cxn modelId="{E81045B3-74BF-4781-8649-975372C14125}" type="presParOf" srcId="{C7909140-021C-4251-B540-59DF6B928E35}" destId="{277EA3DC-B579-4D98-B8BF-ECE024058DFE}" srcOrd="2" destOrd="0" presId="urn:microsoft.com/office/officeart/2005/8/layout/orgChart1"/>
    <dgm:cxn modelId="{3B29BFAA-F882-4C3D-ABB8-D4E62B75C5C3}" type="presParOf" srcId="{B382B4DB-C42B-4ECE-B67A-0A27F355E959}" destId="{B680243A-C60B-4CE6-ADC6-34706B6E7309}" srcOrd="10" destOrd="0" presId="urn:microsoft.com/office/officeart/2005/8/layout/orgChart1"/>
    <dgm:cxn modelId="{1B995450-4EB6-49A2-B814-F129CA44CE93}" type="presParOf" srcId="{B382B4DB-C42B-4ECE-B67A-0A27F355E959}" destId="{12AB99A2-5AC8-4797-AC67-52EDC55902B9}" srcOrd="11" destOrd="0" presId="urn:microsoft.com/office/officeart/2005/8/layout/orgChart1"/>
    <dgm:cxn modelId="{F4BF61D4-9CA8-4280-B7F0-A4A690C05D49}" type="presParOf" srcId="{12AB99A2-5AC8-4797-AC67-52EDC55902B9}" destId="{F6CE950D-DDF5-4DCA-963B-1DC0A820DB37}" srcOrd="0" destOrd="0" presId="urn:microsoft.com/office/officeart/2005/8/layout/orgChart1"/>
    <dgm:cxn modelId="{4CC98114-1928-46F3-B36A-D1E8A9E7E5DB}" type="presParOf" srcId="{F6CE950D-DDF5-4DCA-963B-1DC0A820DB37}" destId="{F81BC637-045E-4D5E-BA82-CB624F3517B0}" srcOrd="0" destOrd="0" presId="urn:microsoft.com/office/officeart/2005/8/layout/orgChart1"/>
    <dgm:cxn modelId="{E4DCDE1F-4E87-4A23-8F45-B29EEBA8846F}" type="presParOf" srcId="{F6CE950D-DDF5-4DCA-963B-1DC0A820DB37}" destId="{BEA91FFD-AEDA-4BB0-9B5B-53536D360754}" srcOrd="1" destOrd="0" presId="urn:microsoft.com/office/officeart/2005/8/layout/orgChart1"/>
    <dgm:cxn modelId="{F396CED1-8DA9-4435-B0C3-DCDAE97D910B}" type="presParOf" srcId="{12AB99A2-5AC8-4797-AC67-52EDC55902B9}" destId="{8AF98AFE-63F6-46E1-9238-62FA4D16EED3}" srcOrd="1" destOrd="0" presId="urn:microsoft.com/office/officeart/2005/8/layout/orgChart1"/>
    <dgm:cxn modelId="{7D341332-7FA0-42F9-8012-6D808E1A0618}" type="presParOf" srcId="{12AB99A2-5AC8-4797-AC67-52EDC55902B9}" destId="{C9BE9670-6932-404D-931B-C04791E88418}" srcOrd="2" destOrd="0" presId="urn:microsoft.com/office/officeart/2005/8/layout/orgChart1"/>
    <dgm:cxn modelId="{D82A6A25-F8F6-4D52-BEC5-04B80EB96C1D}" type="presParOf" srcId="{4A168FF6-E1C5-450B-821F-EC438A6E089F}" destId="{A203B338-AA05-4ED8-8017-7179C020B503}" srcOrd="2" destOrd="0" presId="urn:microsoft.com/office/officeart/2005/8/layout/orgChart1"/>
    <dgm:cxn modelId="{90B29C2C-D145-423E-80BC-7E9CDA94FCE2}" type="presParOf" srcId="{49400318-D702-4557-B5EF-037F4CB07571}" destId="{DFC2E0B4-20B6-4B29-872A-E789C48FE189}" srcOrd="8" destOrd="0" presId="urn:microsoft.com/office/officeart/2005/8/layout/orgChart1"/>
    <dgm:cxn modelId="{59EEEB68-8730-4C6C-A40F-669CD208B0DF}" type="presParOf" srcId="{49400318-D702-4557-B5EF-037F4CB07571}" destId="{7C2C2B45-F426-4EE9-AC73-6FC11EB29EDD}" srcOrd="9" destOrd="0" presId="urn:microsoft.com/office/officeart/2005/8/layout/orgChart1"/>
    <dgm:cxn modelId="{7D83C588-F180-4452-8DE0-6703C486162D}" type="presParOf" srcId="{7C2C2B45-F426-4EE9-AC73-6FC11EB29EDD}" destId="{2364860B-CD48-4B0D-9D19-D756DA24B717}" srcOrd="0" destOrd="0" presId="urn:microsoft.com/office/officeart/2005/8/layout/orgChart1"/>
    <dgm:cxn modelId="{8BB71EF2-58AD-46D1-8385-57809F53942E}" type="presParOf" srcId="{2364860B-CD48-4B0D-9D19-D756DA24B717}" destId="{72CE9576-3485-41D6-B016-AEAFEC45C168}" srcOrd="0" destOrd="0" presId="urn:microsoft.com/office/officeart/2005/8/layout/orgChart1"/>
    <dgm:cxn modelId="{615A054E-81DA-45A0-B076-5DCBE9037423}" type="presParOf" srcId="{2364860B-CD48-4B0D-9D19-D756DA24B717}" destId="{7A9FD34F-8D67-4F80-90BD-38983F7865F4}" srcOrd="1" destOrd="0" presId="urn:microsoft.com/office/officeart/2005/8/layout/orgChart1"/>
    <dgm:cxn modelId="{8EBD944C-E76A-45E5-AC48-AD9B7D4CE729}" type="presParOf" srcId="{7C2C2B45-F426-4EE9-AC73-6FC11EB29EDD}" destId="{2AC45E6A-AB07-489E-80C2-BBF6D52F1AE6}" srcOrd="1" destOrd="0" presId="urn:microsoft.com/office/officeart/2005/8/layout/orgChart1"/>
    <dgm:cxn modelId="{9969DDA8-28FD-42A5-A186-6C0B6308972A}" type="presParOf" srcId="{2AC45E6A-AB07-489E-80C2-BBF6D52F1AE6}" destId="{16F7F3C1-B314-4697-9548-6102ADFB2845}" srcOrd="0" destOrd="0" presId="urn:microsoft.com/office/officeart/2005/8/layout/orgChart1"/>
    <dgm:cxn modelId="{471A3929-1073-4381-A564-F77EB473703E}" type="presParOf" srcId="{2AC45E6A-AB07-489E-80C2-BBF6D52F1AE6}" destId="{13E007F7-12D9-4EA9-ADEC-F2C9619E6C84}" srcOrd="1" destOrd="0" presId="urn:microsoft.com/office/officeart/2005/8/layout/orgChart1"/>
    <dgm:cxn modelId="{763D8710-63B4-47ED-967B-3212865919AE}" type="presParOf" srcId="{13E007F7-12D9-4EA9-ADEC-F2C9619E6C84}" destId="{110F19F2-C289-4331-9FFC-1D164F113251}" srcOrd="0" destOrd="0" presId="urn:microsoft.com/office/officeart/2005/8/layout/orgChart1"/>
    <dgm:cxn modelId="{1AF7EC22-112C-4B60-8DBE-B6E18708DB1E}" type="presParOf" srcId="{110F19F2-C289-4331-9FFC-1D164F113251}" destId="{322C1AAB-D5B9-4A45-B7D8-02646F779554}" srcOrd="0" destOrd="0" presId="urn:microsoft.com/office/officeart/2005/8/layout/orgChart1"/>
    <dgm:cxn modelId="{AB4D9DCC-769A-4FFE-B202-7CD08DE9A354}" type="presParOf" srcId="{110F19F2-C289-4331-9FFC-1D164F113251}" destId="{E2F5FA13-1CAB-42AE-8DED-ED1118BA7ED2}" srcOrd="1" destOrd="0" presId="urn:microsoft.com/office/officeart/2005/8/layout/orgChart1"/>
    <dgm:cxn modelId="{8AD42988-F767-445D-B274-8A41EA91D39B}" type="presParOf" srcId="{13E007F7-12D9-4EA9-ADEC-F2C9619E6C84}" destId="{2A9525E9-A159-4A16-9989-D560178DFC4E}" srcOrd="1" destOrd="0" presId="urn:microsoft.com/office/officeart/2005/8/layout/orgChart1"/>
    <dgm:cxn modelId="{FA95CA7B-E106-44CC-9E51-CC05B496CFC7}" type="presParOf" srcId="{13E007F7-12D9-4EA9-ADEC-F2C9619E6C84}" destId="{AC383D6E-5C42-4F2B-9D84-F9AE11A6C128}" srcOrd="2" destOrd="0" presId="urn:microsoft.com/office/officeart/2005/8/layout/orgChart1"/>
    <dgm:cxn modelId="{89D1EF5D-3E74-40BF-B510-0A67238F62E5}" type="presParOf" srcId="{2AC45E6A-AB07-489E-80C2-BBF6D52F1AE6}" destId="{C66EAB58-8111-467D-BA44-029831F621E7}" srcOrd="2" destOrd="0" presId="urn:microsoft.com/office/officeart/2005/8/layout/orgChart1"/>
    <dgm:cxn modelId="{B9D2E3AE-D748-44F5-AC2E-7FE6019334C9}" type="presParOf" srcId="{2AC45E6A-AB07-489E-80C2-BBF6D52F1AE6}" destId="{E9D44ABB-673E-4E03-A979-248D01D3C077}" srcOrd="3" destOrd="0" presId="urn:microsoft.com/office/officeart/2005/8/layout/orgChart1"/>
    <dgm:cxn modelId="{DFCEF901-5E0E-4B8A-8A7A-E0CF725D33EA}" type="presParOf" srcId="{E9D44ABB-673E-4E03-A979-248D01D3C077}" destId="{31EF7769-9279-4A6D-B633-9BF0027652AE}" srcOrd="0" destOrd="0" presId="urn:microsoft.com/office/officeart/2005/8/layout/orgChart1"/>
    <dgm:cxn modelId="{51DD6D65-4238-4169-9CF2-EFC7AEF083AC}" type="presParOf" srcId="{31EF7769-9279-4A6D-B633-9BF0027652AE}" destId="{98EF1D53-F3BB-4809-9EA1-E05EB58F62D9}" srcOrd="0" destOrd="0" presId="urn:microsoft.com/office/officeart/2005/8/layout/orgChart1"/>
    <dgm:cxn modelId="{706DC9CE-EC3F-4FCB-ACA8-D9B47C457DA7}" type="presParOf" srcId="{31EF7769-9279-4A6D-B633-9BF0027652AE}" destId="{F089EFED-52E0-4F5E-868B-E23852CAB5D2}" srcOrd="1" destOrd="0" presId="urn:microsoft.com/office/officeart/2005/8/layout/orgChart1"/>
    <dgm:cxn modelId="{A25ED675-24C1-412E-BB58-6202729EB008}" type="presParOf" srcId="{E9D44ABB-673E-4E03-A979-248D01D3C077}" destId="{6740F8D0-CC9E-4E1F-9A9A-C5EC53A12AA6}" srcOrd="1" destOrd="0" presId="urn:microsoft.com/office/officeart/2005/8/layout/orgChart1"/>
    <dgm:cxn modelId="{3F06BD01-DC62-4A25-8A82-CFB695B61A19}" type="presParOf" srcId="{E9D44ABB-673E-4E03-A979-248D01D3C077}" destId="{D9710522-F20F-46EB-A456-99450121578E}" srcOrd="2" destOrd="0" presId="urn:microsoft.com/office/officeart/2005/8/layout/orgChart1"/>
    <dgm:cxn modelId="{277416D1-6F28-4EB0-8EFD-EFCB88C64365}" type="presParOf" srcId="{2AC45E6A-AB07-489E-80C2-BBF6D52F1AE6}" destId="{625B5E24-9DF5-4005-A495-30F8253DDEE5}" srcOrd="4" destOrd="0" presId="urn:microsoft.com/office/officeart/2005/8/layout/orgChart1"/>
    <dgm:cxn modelId="{D554EC91-1BBA-4AF1-9FED-FB87BBB362FE}" type="presParOf" srcId="{2AC45E6A-AB07-489E-80C2-BBF6D52F1AE6}" destId="{3BCAEFEA-B449-412D-8F5C-741065A755A4}" srcOrd="5" destOrd="0" presId="urn:microsoft.com/office/officeart/2005/8/layout/orgChart1"/>
    <dgm:cxn modelId="{B1851933-1636-4E23-B4F9-6BBA9AB91537}" type="presParOf" srcId="{3BCAEFEA-B449-412D-8F5C-741065A755A4}" destId="{301B220C-E019-425D-93EA-C4D41D6D1271}" srcOrd="0" destOrd="0" presId="urn:microsoft.com/office/officeart/2005/8/layout/orgChart1"/>
    <dgm:cxn modelId="{5C9CBAAE-9E4B-4354-B3ED-8EB9C6A1A0DF}" type="presParOf" srcId="{301B220C-E019-425D-93EA-C4D41D6D1271}" destId="{1BECE26A-8A62-446F-BB08-D2896523E025}" srcOrd="0" destOrd="0" presId="urn:microsoft.com/office/officeart/2005/8/layout/orgChart1"/>
    <dgm:cxn modelId="{9A897B41-FCC7-43FF-8E7E-59582A0D8B42}" type="presParOf" srcId="{301B220C-E019-425D-93EA-C4D41D6D1271}" destId="{6FB4CC05-60F5-4D4F-AA95-6A776EFC87EC}" srcOrd="1" destOrd="0" presId="urn:microsoft.com/office/officeart/2005/8/layout/orgChart1"/>
    <dgm:cxn modelId="{E50C4339-A523-49AC-B1AB-FC601C7CFC0C}" type="presParOf" srcId="{3BCAEFEA-B449-412D-8F5C-741065A755A4}" destId="{F7F0AC2D-2C5D-45C5-8A4C-F8B4E94C9D29}" srcOrd="1" destOrd="0" presId="urn:microsoft.com/office/officeart/2005/8/layout/orgChart1"/>
    <dgm:cxn modelId="{7218D0BE-D22C-4BD4-BF40-7955CA9C3D70}" type="presParOf" srcId="{3BCAEFEA-B449-412D-8F5C-741065A755A4}" destId="{D893F36C-F18C-4732-94C1-C04C464A2E56}" srcOrd="2" destOrd="0" presId="urn:microsoft.com/office/officeart/2005/8/layout/orgChart1"/>
    <dgm:cxn modelId="{213B4432-A806-444A-8F05-00F3D03A58AA}" type="presParOf" srcId="{2AC45E6A-AB07-489E-80C2-BBF6D52F1AE6}" destId="{2295849E-3CB4-4E08-BD6A-5C2F3485E851}" srcOrd="6" destOrd="0" presId="urn:microsoft.com/office/officeart/2005/8/layout/orgChart1"/>
    <dgm:cxn modelId="{7510256B-99B2-4D55-9B8E-1ECF704A2F7E}" type="presParOf" srcId="{2AC45E6A-AB07-489E-80C2-BBF6D52F1AE6}" destId="{60437A08-3140-4694-817C-88683710CBF3}" srcOrd="7" destOrd="0" presId="urn:microsoft.com/office/officeart/2005/8/layout/orgChart1"/>
    <dgm:cxn modelId="{E8D90D56-E2B1-4181-97BC-5A6254975B90}" type="presParOf" srcId="{60437A08-3140-4694-817C-88683710CBF3}" destId="{AED20DDB-BA54-4BC4-B89A-5C2966794655}" srcOrd="0" destOrd="0" presId="urn:microsoft.com/office/officeart/2005/8/layout/orgChart1"/>
    <dgm:cxn modelId="{D4E6A4A8-2244-460C-896A-4B081426C0D7}" type="presParOf" srcId="{AED20DDB-BA54-4BC4-B89A-5C2966794655}" destId="{BA3A29EB-5F49-4CE7-A2B4-9BA3179FCCF7}" srcOrd="0" destOrd="0" presId="urn:microsoft.com/office/officeart/2005/8/layout/orgChart1"/>
    <dgm:cxn modelId="{03AC1955-49EF-46E3-B0B2-CC95F08191B0}" type="presParOf" srcId="{AED20DDB-BA54-4BC4-B89A-5C2966794655}" destId="{2C86B113-DD34-4E90-A940-F9E2B19B82C1}" srcOrd="1" destOrd="0" presId="urn:microsoft.com/office/officeart/2005/8/layout/orgChart1"/>
    <dgm:cxn modelId="{93ADF565-E50C-4775-B030-0AEEE60AD877}" type="presParOf" srcId="{60437A08-3140-4694-817C-88683710CBF3}" destId="{CCF51B18-E334-4D57-819F-0ADCF55493DB}" srcOrd="1" destOrd="0" presId="urn:microsoft.com/office/officeart/2005/8/layout/orgChart1"/>
    <dgm:cxn modelId="{29D4CD8F-A856-40D4-9939-0EC6188FEA3C}" type="presParOf" srcId="{60437A08-3140-4694-817C-88683710CBF3}" destId="{A27CB127-5731-4873-A531-C613240B2AE8}" srcOrd="2" destOrd="0" presId="urn:microsoft.com/office/officeart/2005/8/layout/orgChart1"/>
    <dgm:cxn modelId="{904F5EF2-5AA3-4BCF-9C0F-A7B1A7A6036F}" type="presParOf" srcId="{2AC45E6A-AB07-489E-80C2-BBF6D52F1AE6}" destId="{8C7DCB91-1240-4330-95A8-401C5DB06BAF}" srcOrd="8" destOrd="0" presId="urn:microsoft.com/office/officeart/2005/8/layout/orgChart1"/>
    <dgm:cxn modelId="{7D7F45C3-92CB-46D1-8322-84FDB50CB81D}" type="presParOf" srcId="{2AC45E6A-AB07-489E-80C2-BBF6D52F1AE6}" destId="{F7EC6CB6-D931-4878-AB1F-E41630CFAEEA}" srcOrd="9" destOrd="0" presId="urn:microsoft.com/office/officeart/2005/8/layout/orgChart1"/>
    <dgm:cxn modelId="{B00A4C00-3D90-4919-B90C-87BAE789604F}" type="presParOf" srcId="{F7EC6CB6-D931-4878-AB1F-E41630CFAEEA}" destId="{DD9857D3-3765-42C9-991D-4B56C833916A}" srcOrd="0" destOrd="0" presId="urn:microsoft.com/office/officeart/2005/8/layout/orgChart1"/>
    <dgm:cxn modelId="{CEC09EA5-3776-477C-95E1-BBB46F500AA0}" type="presParOf" srcId="{DD9857D3-3765-42C9-991D-4B56C833916A}" destId="{B63C4D28-9667-4A87-8BC2-DCB5D1A6D355}" srcOrd="0" destOrd="0" presId="urn:microsoft.com/office/officeart/2005/8/layout/orgChart1"/>
    <dgm:cxn modelId="{202AF111-681B-4174-A918-21B33803D08A}" type="presParOf" srcId="{DD9857D3-3765-42C9-991D-4B56C833916A}" destId="{6CFF9B98-15F6-48D6-9599-C7243585A7EA}" srcOrd="1" destOrd="0" presId="urn:microsoft.com/office/officeart/2005/8/layout/orgChart1"/>
    <dgm:cxn modelId="{45E0C6C5-94D3-479B-A08E-90A8BA696AF0}" type="presParOf" srcId="{F7EC6CB6-D931-4878-AB1F-E41630CFAEEA}" destId="{44377D4A-EDB6-4B51-9E16-284DAE90DEC3}" srcOrd="1" destOrd="0" presId="urn:microsoft.com/office/officeart/2005/8/layout/orgChart1"/>
    <dgm:cxn modelId="{9E83FC3D-B9E3-48BE-98EC-37161E516312}" type="presParOf" srcId="{F7EC6CB6-D931-4878-AB1F-E41630CFAEEA}" destId="{C60A75B6-F1DB-4A6B-B1A4-B9F0E8854629}" srcOrd="2" destOrd="0" presId="urn:microsoft.com/office/officeart/2005/8/layout/orgChart1"/>
    <dgm:cxn modelId="{CBFDD50D-470A-4CA1-8A17-2F9867784D97}" type="presParOf" srcId="{2AC45E6A-AB07-489E-80C2-BBF6D52F1AE6}" destId="{CA0F0CDD-8BA9-4974-AA2D-9DD2124151F5}" srcOrd="10" destOrd="0" presId="urn:microsoft.com/office/officeart/2005/8/layout/orgChart1"/>
    <dgm:cxn modelId="{168C6296-2D4D-4D63-BAF4-9DA4AE11AFEB}" type="presParOf" srcId="{2AC45E6A-AB07-489E-80C2-BBF6D52F1AE6}" destId="{310F0EA6-D0C8-4476-A818-A2FF23C43DB9}" srcOrd="11" destOrd="0" presId="urn:microsoft.com/office/officeart/2005/8/layout/orgChart1"/>
    <dgm:cxn modelId="{18EA7163-9872-4A7D-95F3-5679C955C53B}" type="presParOf" srcId="{310F0EA6-D0C8-4476-A818-A2FF23C43DB9}" destId="{A2F2D702-4D2E-4F73-A180-B7A83F6EC22B}" srcOrd="0" destOrd="0" presId="urn:microsoft.com/office/officeart/2005/8/layout/orgChart1"/>
    <dgm:cxn modelId="{FF534C6C-7469-4564-B35B-A6CD72531B33}" type="presParOf" srcId="{A2F2D702-4D2E-4F73-A180-B7A83F6EC22B}" destId="{0D3110FA-324F-49A8-996A-15A0FDA711CC}" srcOrd="0" destOrd="0" presId="urn:microsoft.com/office/officeart/2005/8/layout/orgChart1"/>
    <dgm:cxn modelId="{EF1E570B-C9CE-44C6-91EB-79F956C508BD}" type="presParOf" srcId="{A2F2D702-4D2E-4F73-A180-B7A83F6EC22B}" destId="{ECD219A3-4524-4A08-A06A-F640735FEDED}" srcOrd="1" destOrd="0" presId="urn:microsoft.com/office/officeart/2005/8/layout/orgChart1"/>
    <dgm:cxn modelId="{DB47CA5F-07ED-461A-A923-575BDEC9A684}" type="presParOf" srcId="{310F0EA6-D0C8-4476-A818-A2FF23C43DB9}" destId="{97D06E6F-8BFC-4145-973F-765078C26D5F}" srcOrd="1" destOrd="0" presId="urn:microsoft.com/office/officeart/2005/8/layout/orgChart1"/>
    <dgm:cxn modelId="{57CDFEF6-0FD1-4465-901C-A92202930D96}" type="presParOf" srcId="{310F0EA6-D0C8-4476-A818-A2FF23C43DB9}" destId="{DDC73B76-30B4-4284-8C91-D836AC94E276}" srcOrd="2" destOrd="0" presId="urn:microsoft.com/office/officeart/2005/8/layout/orgChart1"/>
    <dgm:cxn modelId="{EEC435DF-A25E-464C-A78A-E42ADB9C09FA}" type="presParOf" srcId="{2AC45E6A-AB07-489E-80C2-BBF6D52F1AE6}" destId="{D9162819-77D1-487D-83B1-B8232BE88684}" srcOrd="12" destOrd="0" presId="urn:microsoft.com/office/officeart/2005/8/layout/orgChart1"/>
    <dgm:cxn modelId="{5B471617-86FB-4103-9E7C-608373ADF0F6}" type="presParOf" srcId="{2AC45E6A-AB07-489E-80C2-BBF6D52F1AE6}" destId="{03C0DBE6-EBA6-45FE-9593-78807F468462}" srcOrd="13" destOrd="0" presId="urn:microsoft.com/office/officeart/2005/8/layout/orgChart1"/>
    <dgm:cxn modelId="{D3B25628-9853-4883-BFAC-D8C7B0BFE0C0}" type="presParOf" srcId="{03C0DBE6-EBA6-45FE-9593-78807F468462}" destId="{8AE7FBEE-8EBE-4839-AFCD-2A6D031A53B6}" srcOrd="0" destOrd="0" presId="urn:microsoft.com/office/officeart/2005/8/layout/orgChart1"/>
    <dgm:cxn modelId="{F4A3B57D-1E5F-4966-A6E4-90569341F62B}" type="presParOf" srcId="{8AE7FBEE-8EBE-4839-AFCD-2A6D031A53B6}" destId="{9A49ABE6-AB50-4691-B46D-6DC5CC79EC1A}" srcOrd="0" destOrd="0" presId="urn:microsoft.com/office/officeart/2005/8/layout/orgChart1"/>
    <dgm:cxn modelId="{625D45F7-B9D7-4243-A535-D934653A7D2B}" type="presParOf" srcId="{8AE7FBEE-8EBE-4839-AFCD-2A6D031A53B6}" destId="{0940B232-9888-487D-8F65-5A7C1DE63225}" srcOrd="1" destOrd="0" presId="urn:microsoft.com/office/officeart/2005/8/layout/orgChart1"/>
    <dgm:cxn modelId="{C96F71EC-5C66-4D7F-A97D-03350BED76B7}" type="presParOf" srcId="{03C0DBE6-EBA6-45FE-9593-78807F468462}" destId="{146ABDC4-A2CE-4CD7-8466-189DB3854598}" srcOrd="1" destOrd="0" presId="urn:microsoft.com/office/officeart/2005/8/layout/orgChart1"/>
    <dgm:cxn modelId="{8EC7A763-AB1A-4ABC-8453-5DBBEA95A86F}" type="presParOf" srcId="{03C0DBE6-EBA6-45FE-9593-78807F468462}" destId="{42C18A7E-5C7D-4E38-9EA4-80239BACF151}" srcOrd="2" destOrd="0" presId="urn:microsoft.com/office/officeart/2005/8/layout/orgChart1"/>
    <dgm:cxn modelId="{FCFFB92B-39FD-4ECC-8232-B7FC78B93226}" type="presParOf" srcId="{2AC45E6A-AB07-489E-80C2-BBF6D52F1AE6}" destId="{048F876B-E914-4F2C-A2B4-72ADC2E0A02E}" srcOrd="14" destOrd="0" presId="urn:microsoft.com/office/officeart/2005/8/layout/orgChart1"/>
    <dgm:cxn modelId="{B8476BF7-A509-46F5-8B59-EA47526CAC7E}" type="presParOf" srcId="{2AC45E6A-AB07-489E-80C2-BBF6D52F1AE6}" destId="{604036DC-616E-4E33-98B2-AF21EB7A5DA2}" srcOrd="15" destOrd="0" presId="urn:microsoft.com/office/officeart/2005/8/layout/orgChart1"/>
    <dgm:cxn modelId="{D2B78CE3-0193-4FB6-976F-36F7C3053333}" type="presParOf" srcId="{604036DC-616E-4E33-98B2-AF21EB7A5DA2}" destId="{9615377B-6E6F-4FB2-B16D-7443617574AC}" srcOrd="0" destOrd="0" presId="urn:microsoft.com/office/officeart/2005/8/layout/orgChart1"/>
    <dgm:cxn modelId="{6675E543-E12D-4511-A2EF-1381EA7E3CB9}" type="presParOf" srcId="{9615377B-6E6F-4FB2-B16D-7443617574AC}" destId="{83A7B532-D19D-4D05-A41B-C8F7CF93A29B}" srcOrd="0" destOrd="0" presId="urn:microsoft.com/office/officeart/2005/8/layout/orgChart1"/>
    <dgm:cxn modelId="{32804B78-79C4-48D2-88D5-9511C0B8F005}" type="presParOf" srcId="{9615377B-6E6F-4FB2-B16D-7443617574AC}" destId="{24CC3259-8990-48CD-9D63-AB3897B9F545}" srcOrd="1" destOrd="0" presId="urn:microsoft.com/office/officeart/2005/8/layout/orgChart1"/>
    <dgm:cxn modelId="{A646EBF1-E6B9-40B7-9DFE-B27B6FDDEB74}" type="presParOf" srcId="{604036DC-616E-4E33-98B2-AF21EB7A5DA2}" destId="{82133E1C-06C2-4C69-906D-FF4332B83D38}" srcOrd="1" destOrd="0" presId="urn:microsoft.com/office/officeart/2005/8/layout/orgChart1"/>
    <dgm:cxn modelId="{4D01783D-4E6A-4B63-BEAE-669497BE7406}" type="presParOf" srcId="{604036DC-616E-4E33-98B2-AF21EB7A5DA2}" destId="{3F811389-9AFF-48DC-A942-C93E10471390}" srcOrd="2" destOrd="0" presId="urn:microsoft.com/office/officeart/2005/8/layout/orgChart1"/>
    <dgm:cxn modelId="{E9066E75-385B-410F-9A96-5E92B2B0661F}" type="presParOf" srcId="{2AC45E6A-AB07-489E-80C2-BBF6D52F1AE6}" destId="{9F3770C1-95F9-4EDB-BCEB-322B4EC773F6}" srcOrd="16" destOrd="0" presId="urn:microsoft.com/office/officeart/2005/8/layout/orgChart1"/>
    <dgm:cxn modelId="{74C5C36E-2A06-4317-AF93-04A121D99E69}" type="presParOf" srcId="{2AC45E6A-AB07-489E-80C2-BBF6D52F1AE6}" destId="{178AD067-4826-4CBF-9CE3-1F748A0B9081}" srcOrd="17" destOrd="0" presId="urn:microsoft.com/office/officeart/2005/8/layout/orgChart1"/>
    <dgm:cxn modelId="{F5AE8D2C-1EF1-412C-A096-79FF6406BB34}" type="presParOf" srcId="{178AD067-4826-4CBF-9CE3-1F748A0B9081}" destId="{E1C39787-92B3-4884-86D5-493394B2E66E}" srcOrd="0" destOrd="0" presId="urn:microsoft.com/office/officeart/2005/8/layout/orgChart1"/>
    <dgm:cxn modelId="{80E75E86-8FE5-427A-B8C0-B1FEB044274A}" type="presParOf" srcId="{E1C39787-92B3-4884-86D5-493394B2E66E}" destId="{818C6BD5-032F-4E1D-A8F3-6C801413AD7F}" srcOrd="0" destOrd="0" presId="urn:microsoft.com/office/officeart/2005/8/layout/orgChart1"/>
    <dgm:cxn modelId="{214D6E26-E9FC-45E4-9057-5F6D670C4E8C}" type="presParOf" srcId="{E1C39787-92B3-4884-86D5-493394B2E66E}" destId="{B781AA3F-6760-4E30-9AD4-DC442AADABDD}" srcOrd="1" destOrd="0" presId="urn:microsoft.com/office/officeart/2005/8/layout/orgChart1"/>
    <dgm:cxn modelId="{54274FA8-BE27-4543-A75F-5A94074D25D7}" type="presParOf" srcId="{178AD067-4826-4CBF-9CE3-1F748A0B9081}" destId="{215301A5-93F8-4D6F-898D-390EF4120F61}" srcOrd="1" destOrd="0" presId="urn:microsoft.com/office/officeart/2005/8/layout/orgChart1"/>
    <dgm:cxn modelId="{96E5718A-3392-4D13-9BEC-C7409A86F825}" type="presParOf" srcId="{178AD067-4826-4CBF-9CE3-1F748A0B9081}" destId="{DE44EBC6-6F97-4E97-BF0B-8063A56670ED}" srcOrd="2" destOrd="0" presId="urn:microsoft.com/office/officeart/2005/8/layout/orgChart1"/>
    <dgm:cxn modelId="{92B1D227-213A-41C2-9584-FD11347DF308}" type="presParOf" srcId="{2AC45E6A-AB07-489E-80C2-BBF6D52F1AE6}" destId="{4982CC62-158D-4855-A22D-8483BB727345}" srcOrd="18" destOrd="0" presId="urn:microsoft.com/office/officeart/2005/8/layout/orgChart1"/>
    <dgm:cxn modelId="{D3F6C0C4-BF9A-4888-8B39-14A5BF029685}" type="presParOf" srcId="{2AC45E6A-AB07-489E-80C2-BBF6D52F1AE6}" destId="{7E525B65-F55E-4A3F-93C1-9DDDEA4267F4}" srcOrd="19" destOrd="0" presId="urn:microsoft.com/office/officeart/2005/8/layout/orgChart1"/>
    <dgm:cxn modelId="{955B5974-16A1-415A-8CDE-597EEE1D46DD}" type="presParOf" srcId="{7E525B65-F55E-4A3F-93C1-9DDDEA4267F4}" destId="{5485D030-EE52-4325-B0AE-EBACE5E0F616}" srcOrd="0" destOrd="0" presId="urn:microsoft.com/office/officeart/2005/8/layout/orgChart1"/>
    <dgm:cxn modelId="{0701FC0B-E6CB-4DDC-8012-E45FA357E4AF}" type="presParOf" srcId="{5485D030-EE52-4325-B0AE-EBACE5E0F616}" destId="{0CB28234-5086-4AA4-A6FB-4F8754B0E461}" srcOrd="0" destOrd="0" presId="urn:microsoft.com/office/officeart/2005/8/layout/orgChart1"/>
    <dgm:cxn modelId="{921A86A5-A171-4E46-9C0F-819D6487FC20}" type="presParOf" srcId="{5485D030-EE52-4325-B0AE-EBACE5E0F616}" destId="{4BAAEFED-5939-487E-BB6E-45867B47BA9F}" srcOrd="1" destOrd="0" presId="urn:microsoft.com/office/officeart/2005/8/layout/orgChart1"/>
    <dgm:cxn modelId="{A646C764-EB00-41C4-B5EB-C0888EF0EED6}" type="presParOf" srcId="{7E525B65-F55E-4A3F-93C1-9DDDEA4267F4}" destId="{81006D81-2F91-41BF-A1F6-EEB950296CE8}" srcOrd="1" destOrd="0" presId="urn:microsoft.com/office/officeart/2005/8/layout/orgChart1"/>
    <dgm:cxn modelId="{BFB2CC89-B544-4551-B5BA-4944E81933FE}" type="presParOf" srcId="{7E525B65-F55E-4A3F-93C1-9DDDEA4267F4}" destId="{925B1AF3-B9ED-45C6-BEA4-E2745FBF8E10}" srcOrd="2" destOrd="0" presId="urn:microsoft.com/office/officeart/2005/8/layout/orgChart1"/>
    <dgm:cxn modelId="{5BD15645-B711-4674-8EB6-640EA3D79D30}" type="presParOf" srcId="{2AC45E6A-AB07-489E-80C2-BBF6D52F1AE6}" destId="{DED4E9AF-A8C5-4CB4-BB6A-11CB23EE5008}" srcOrd="20" destOrd="0" presId="urn:microsoft.com/office/officeart/2005/8/layout/orgChart1"/>
    <dgm:cxn modelId="{02FF9757-2566-4B83-9536-689C1E77D626}" type="presParOf" srcId="{2AC45E6A-AB07-489E-80C2-BBF6D52F1AE6}" destId="{2E33A04E-BCF7-40D9-9526-8F63A02318D8}" srcOrd="21" destOrd="0" presId="urn:microsoft.com/office/officeart/2005/8/layout/orgChart1"/>
    <dgm:cxn modelId="{9B286B06-1A1C-4864-8601-3A977420ABCA}" type="presParOf" srcId="{2E33A04E-BCF7-40D9-9526-8F63A02318D8}" destId="{21DFE3AA-2C2A-476B-8A46-E79475FCD4F9}" srcOrd="0" destOrd="0" presId="urn:microsoft.com/office/officeart/2005/8/layout/orgChart1"/>
    <dgm:cxn modelId="{6E2E9357-705B-44F3-9745-7933205F5F19}" type="presParOf" srcId="{21DFE3AA-2C2A-476B-8A46-E79475FCD4F9}" destId="{BCBF307B-C21C-4DBB-8F2E-752642B3B25D}" srcOrd="0" destOrd="0" presId="urn:microsoft.com/office/officeart/2005/8/layout/orgChart1"/>
    <dgm:cxn modelId="{57C27A9A-491C-4E62-A9BF-13FAB0C6E0A3}" type="presParOf" srcId="{21DFE3AA-2C2A-476B-8A46-E79475FCD4F9}" destId="{13626C6E-DEC7-4AA5-AFCC-5522F2293A80}" srcOrd="1" destOrd="0" presId="urn:microsoft.com/office/officeart/2005/8/layout/orgChart1"/>
    <dgm:cxn modelId="{62BC4BE8-63A3-4104-8FAD-1965DD67723E}" type="presParOf" srcId="{2E33A04E-BCF7-40D9-9526-8F63A02318D8}" destId="{C3552FA5-234C-465F-9218-C4D69B2BBCF7}" srcOrd="1" destOrd="0" presId="urn:microsoft.com/office/officeart/2005/8/layout/orgChart1"/>
    <dgm:cxn modelId="{56EED228-0970-4CC4-80E5-8285C59D14D2}" type="presParOf" srcId="{2E33A04E-BCF7-40D9-9526-8F63A02318D8}" destId="{F5B079A7-0694-4671-AE0E-05F393879980}" srcOrd="2" destOrd="0" presId="urn:microsoft.com/office/officeart/2005/8/layout/orgChart1"/>
    <dgm:cxn modelId="{F0A640B2-CC0E-4211-A4CA-C5F81BB99BB8}" type="presParOf" srcId="{7C2C2B45-F426-4EE9-AC73-6FC11EB29EDD}" destId="{BBBB0EDA-7FE9-4251-8C58-E687B0E5B2DB}" srcOrd="2" destOrd="0" presId="urn:microsoft.com/office/officeart/2005/8/layout/orgChart1"/>
    <dgm:cxn modelId="{7FF9A9EE-075F-44A5-AEA3-0967B6DC0648}" type="presParOf" srcId="{49400318-D702-4557-B5EF-037F4CB07571}" destId="{6D98E36D-0E73-406B-842D-48D8840A37AF}" srcOrd="10" destOrd="0" presId="urn:microsoft.com/office/officeart/2005/8/layout/orgChart1"/>
    <dgm:cxn modelId="{9C8F1F37-A683-4CFA-9D02-A00F0C556B4A}" type="presParOf" srcId="{49400318-D702-4557-B5EF-037F4CB07571}" destId="{34150C27-1521-414B-8B35-BEEC0ECEA0DB}" srcOrd="11" destOrd="0" presId="urn:microsoft.com/office/officeart/2005/8/layout/orgChart1"/>
    <dgm:cxn modelId="{30DF041F-ED7D-494C-8DB6-B47A6CB4615D}" type="presParOf" srcId="{34150C27-1521-414B-8B35-BEEC0ECEA0DB}" destId="{FFE360E3-9547-45BE-B1B8-3C4C77404BF7}" srcOrd="0" destOrd="0" presId="urn:microsoft.com/office/officeart/2005/8/layout/orgChart1"/>
    <dgm:cxn modelId="{551B43FF-10C4-4119-AD1D-F20C69BBD67E}" type="presParOf" srcId="{FFE360E3-9547-45BE-B1B8-3C4C77404BF7}" destId="{BC42652F-25BC-4B62-94AA-70F8190B5ECF}" srcOrd="0" destOrd="0" presId="urn:microsoft.com/office/officeart/2005/8/layout/orgChart1"/>
    <dgm:cxn modelId="{B60ACA97-BBE9-4A73-9A74-093454DEE051}" type="presParOf" srcId="{FFE360E3-9547-45BE-B1B8-3C4C77404BF7}" destId="{A04E3921-449E-4198-8DD8-5DCEA35B2158}" srcOrd="1" destOrd="0" presId="urn:microsoft.com/office/officeart/2005/8/layout/orgChart1"/>
    <dgm:cxn modelId="{08E4992B-33BE-4793-A3B4-DF2B724E2D26}" type="presParOf" srcId="{34150C27-1521-414B-8B35-BEEC0ECEA0DB}" destId="{3B387AC6-541A-484C-8294-442B97AE9997}" srcOrd="1" destOrd="0" presId="urn:microsoft.com/office/officeart/2005/8/layout/orgChart1"/>
    <dgm:cxn modelId="{992ED7BC-6D6A-4DC2-80FA-B348CABA0B73}" type="presParOf" srcId="{3B387AC6-541A-484C-8294-442B97AE9997}" destId="{B33B6BBB-D919-42E1-AD07-AFF078258EEC}" srcOrd="0" destOrd="0" presId="urn:microsoft.com/office/officeart/2005/8/layout/orgChart1"/>
    <dgm:cxn modelId="{DA687D7E-BEA5-405F-92A9-EC51F8B75033}" type="presParOf" srcId="{3B387AC6-541A-484C-8294-442B97AE9997}" destId="{D6E6D5A7-372E-4735-8467-47A4964D9C51}" srcOrd="1" destOrd="0" presId="urn:microsoft.com/office/officeart/2005/8/layout/orgChart1"/>
    <dgm:cxn modelId="{3CBCFDD9-8912-4B2B-8EAD-79B2AB9E3D0B}" type="presParOf" srcId="{D6E6D5A7-372E-4735-8467-47A4964D9C51}" destId="{958D26D4-847C-4666-A829-3454CA316154}" srcOrd="0" destOrd="0" presId="urn:microsoft.com/office/officeart/2005/8/layout/orgChart1"/>
    <dgm:cxn modelId="{A9225EA3-1727-4CC4-ACA3-30ECD4E2E751}" type="presParOf" srcId="{958D26D4-847C-4666-A829-3454CA316154}" destId="{EC0B7BEE-6E47-453A-AC30-360984243525}" srcOrd="0" destOrd="0" presId="urn:microsoft.com/office/officeart/2005/8/layout/orgChart1"/>
    <dgm:cxn modelId="{AC9A69CB-E884-4197-82F5-E23189E0C493}" type="presParOf" srcId="{958D26D4-847C-4666-A829-3454CA316154}" destId="{09EC6CFB-703C-4B71-8535-353D18058582}" srcOrd="1" destOrd="0" presId="urn:microsoft.com/office/officeart/2005/8/layout/orgChart1"/>
    <dgm:cxn modelId="{2EB83A80-A3AA-455B-81F0-8789DA611C52}" type="presParOf" srcId="{D6E6D5A7-372E-4735-8467-47A4964D9C51}" destId="{37655876-A262-4B3E-BB7B-79B6993E94B6}" srcOrd="1" destOrd="0" presId="urn:microsoft.com/office/officeart/2005/8/layout/orgChart1"/>
    <dgm:cxn modelId="{DCB19774-FFC0-4AB7-ACAA-39F74AE271A1}" type="presParOf" srcId="{D6E6D5A7-372E-4735-8467-47A4964D9C51}" destId="{FBA6110F-1EEF-4EFE-8470-CA2563E62551}" srcOrd="2" destOrd="0" presId="urn:microsoft.com/office/officeart/2005/8/layout/orgChart1"/>
    <dgm:cxn modelId="{870BF468-04A4-4667-ABC2-3680F64F14E5}" type="presParOf" srcId="{3B387AC6-541A-484C-8294-442B97AE9997}" destId="{548BFB23-C118-4F73-8CA6-958D6B5B7104}" srcOrd="2" destOrd="0" presId="urn:microsoft.com/office/officeart/2005/8/layout/orgChart1"/>
    <dgm:cxn modelId="{CB9C6438-AE61-44F0-9F91-B9C8AA6DA2DD}" type="presParOf" srcId="{3B387AC6-541A-484C-8294-442B97AE9997}" destId="{0CBDC676-4F02-449F-A2A4-D89857177221}" srcOrd="3" destOrd="0" presId="urn:microsoft.com/office/officeart/2005/8/layout/orgChart1"/>
    <dgm:cxn modelId="{82D7E15A-AFC5-4D7C-B031-6CA3292CBD5C}" type="presParOf" srcId="{0CBDC676-4F02-449F-A2A4-D89857177221}" destId="{C3E5C577-A677-4C9B-A0A0-8BE14B4650A1}" srcOrd="0" destOrd="0" presId="urn:microsoft.com/office/officeart/2005/8/layout/orgChart1"/>
    <dgm:cxn modelId="{1509BF93-EFCB-40A4-B714-C80573920204}" type="presParOf" srcId="{C3E5C577-A677-4C9B-A0A0-8BE14B4650A1}" destId="{004B763B-2A92-42A3-9583-D26C3EF02BA9}" srcOrd="0" destOrd="0" presId="urn:microsoft.com/office/officeart/2005/8/layout/orgChart1"/>
    <dgm:cxn modelId="{71612BC6-57D3-4747-923F-21097EECC4F8}" type="presParOf" srcId="{C3E5C577-A677-4C9B-A0A0-8BE14B4650A1}" destId="{95577890-DC99-465C-81A6-8B59F7C108C9}" srcOrd="1" destOrd="0" presId="urn:microsoft.com/office/officeart/2005/8/layout/orgChart1"/>
    <dgm:cxn modelId="{08DCEAE7-B5A0-4CE9-A94F-D12AB270F7C2}" type="presParOf" srcId="{0CBDC676-4F02-449F-A2A4-D89857177221}" destId="{E3ADBEB3-F1FB-40FA-BF07-3F37228C77FE}" srcOrd="1" destOrd="0" presId="urn:microsoft.com/office/officeart/2005/8/layout/orgChart1"/>
    <dgm:cxn modelId="{1A6F5B99-58EA-4812-926D-C897D5212A9C}" type="presParOf" srcId="{0CBDC676-4F02-449F-A2A4-D89857177221}" destId="{A23F219E-1B2E-4F38-9C96-B75BCCCA9362}" srcOrd="2" destOrd="0" presId="urn:microsoft.com/office/officeart/2005/8/layout/orgChart1"/>
    <dgm:cxn modelId="{47DBA023-A493-4611-BF9F-5B2596B22E39}" type="presParOf" srcId="{3B387AC6-541A-484C-8294-442B97AE9997}" destId="{7154154A-4125-441E-A3C3-BE87A8A5278D}" srcOrd="4" destOrd="0" presId="urn:microsoft.com/office/officeart/2005/8/layout/orgChart1"/>
    <dgm:cxn modelId="{08A8BC2D-ECA9-442B-AB9C-1BDC8E6AB8C7}" type="presParOf" srcId="{3B387AC6-541A-484C-8294-442B97AE9997}" destId="{0A955EDE-0F9A-434D-8AB3-0C71E7DA1B59}" srcOrd="5" destOrd="0" presId="urn:microsoft.com/office/officeart/2005/8/layout/orgChart1"/>
    <dgm:cxn modelId="{86067C08-3DBC-4309-B23B-A665D5DA7710}" type="presParOf" srcId="{0A955EDE-0F9A-434D-8AB3-0C71E7DA1B59}" destId="{8067BD4B-C74C-4736-B373-1C1E8546ED2D}" srcOrd="0" destOrd="0" presId="urn:microsoft.com/office/officeart/2005/8/layout/orgChart1"/>
    <dgm:cxn modelId="{79A2A09E-D641-4162-A19E-4C8D6B9C5146}" type="presParOf" srcId="{8067BD4B-C74C-4736-B373-1C1E8546ED2D}" destId="{B9DEDE45-14AD-4563-88CB-7B0D6A070598}" srcOrd="0" destOrd="0" presId="urn:microsoft.com/office/officeart/2005/8/layout/orgChart1"/>
    <dgm:cxn modelId="{EF6B0CC0-2953-4366-B8CF-4F0594E3A5B4}" type="presParOf" srcId="{8067BD4B-C74C-4736-B373-1C1E8546ED2D}" destId="{0306E8E1-1052-4186-BD31-0CCC4F6BA0A3}" srcOrd="1" destOrd="0" presId="urn:microsoft.com/office/officeart/2005/8/layout/orgChart1"/>
    <dgm:cxn modelId="{538BDB58-8F35-4567-8DCC-C1057985E832}" type="presParOf" srcId="{0A955EDE-0F9A-434D-8AB3-0C71E7DA1B59}" destId="{3F4FBDD9-54A4-4363-B764-8F2D9BA284AC}" srcOrd="1" destOrd="0" presId="urn:microsoft.com/office/officeart/2005/8/layout/orgChart1"/>
    <dgm:cxn modelId="{1D9B3384-9A2D-41D4-943C-74032FA68E33}" type="presParOf" srcId="{0A955EDE-0F9A-434D-8AB3-0C71E7DA1B59}" destId="{002FC031-4BFC-484F-8B31-F51E7340C51C}" srcOrd="2" destOrd="0" presId="urn:microsoft.com/office/officeart/2005/8/layout/orgChart1"/>
    <dgm:cxn modelId="{2EE7ABE3-C325-4923-B336-CFB7B67DD5E5}" type="presParOf" srcId="{3B387AC6-541A-484C-8294-442B97AE9997}" destId="{3821EF9E-B015-4976-A7A3-C26263BCD773}" srcOrd="6" destOrd="0" presId="urn:microsoft.com/office/officeart/2005/8/layout/orgChart1"/>
    <dgm:cxn modelId="{37A3953D-EB00-46E1-AF71-D5954B275EAD}" type="presParOf" srcId="{3B387AC6-541A-484C-8294-442B97AE9997}" destId="{B0521C16-5B45-44A8-800B-6486B611BCF8}" srcOrd="7" destOrd="0" presId="urn:microsoft.com/office/officeart/2005/8/layout/orgChart1"/>
    <dgm:cxn modelId="{0EC29644-BBF6-4498-B6EC-20D13923374E}" type="presParOf" srcId="{B0521C16-5B45-44A8-800B-6486B611BCF8}" destId="{A37F70FF-6716-48DB-BC4C-0BA977BC22D2}" srcOrd="0" destOrd="0" presId="urn:microsoft.com/office/officeart/2005/8/layout/orgChart1"/>
    <dgm:cxn modelId="{BAD8146E-2E33-4C89-B2A2-5415332775D2}" type="presParOf" srcId="{A37F70FF-6716-48DB-BC4C-0BA977BC22D2}" destId="{5C863727-5B15-4BC2-A730-5BCA6549A943}" srcOrd="0" destOrd="0" presId="urn:microsoft.com/office/officeart/2005/8/layout/orgChart1"/>
    <dgm:cxn modelId="{AB10F36D-AD2F-44BA-B7B0-78622EFF5E0C}" type="presParOf" srcId="{A37F70FF-6716-48DB-BC4C-0BA977BC22D2}" destId="{FEE142A3-78D3-4556-9125-E4EC5479676D}" srcOrd="1" destOrd="0" presId="urn:microsoft.com/office/officeart/2005/8/layout/orgChart1"/>
    <dgm:cxn modelId="{ED628D68-C64A-4429-A160-C334C373D1DB}" type="presParOf" srcId="{B0521C16-5B45-44A8-800B-6486B611BCF8}" destId="{226F7EEF-D8F7-4375-93F8-AF67C92455A0}" srcOrd="1" destOrd="0" presId="urn:microsoft.com/office/officeart/2005/8/layout/orgChart1"/>
    <dgm:cxn modelId="{1AC61A3B-7FB7-4457-81B8-7D74C178898C}" type="presParOf" srcId="{B0521C16-5B45-44A8-800B-6486B611BCF8}" destId="{FF220AC8-52E2-44F3-B901-71F3F0EFFCFC}" srcOrd="2" destOrd="0" presId="urn:microsoft.com/office/officeart/2005/8/layout/orgChart1"/>
    <dgm:cxn modelId="{A1F28900-F3E8-4B20-9B7F-10C0742CA360}" type="presParOf" srcId="{3B387AC6-541A-484C-8294-442B97AE9997}" destId="{64E41716-ECC1-4D56-B0D8-E3C2ACCE5B9E}" srcOrd="8" destOrd="0" presId="urn:microsoft.com/office/officeart/2005/8/layout/orgChart1"/>
    <dgm:cxn modelId="{BBABAC23-3098-4296-8624-EC3ED47FE422}" type="presParOf" srcId="{3B387AC6-541A-484C-8294-442B97AE9997}" destId="{98B9ED93-3A4F-492D-B665-2F0C1C0CAA23}" srcOrd="9" destOrd="0" presId="urn:microsoft.com/office/officeart/2005/8/layout/orgChart1"/>
    <dgm:cxn modelId="{938C7043-E213-4DF3-8FE2-8F136A7F0E57}" type="presParOf" srcId="{98B9ED93-3A4F-492D-B665-2F0C1C0CAA23}" destId="{5E83EEA0-899F-4348-9CC7-CCB983189C30}" srcOrd="0" destOrd="0" presId="urn:microsoft.com/office/officeart/2005/8/layout/orgChart1"/>
    <dgm:cxn modelId="{437F4AC6-EC17-4603-8377-D8568B880B83}" type="presParOf" srcId="{5E83EEA0-899F-4348-9CC7-CCB983189C30}" destId="{A1F956AF-AF0A-48B8-993C-7ECF4FE78AE1}" srcOrd="0" destOrd="0" presId="urn:microsoft.com/office/officeart/2005/8/layout/orgChart1"/>
    <dgm:cxn modelId="{20C004A0-6247-4322-AED6-0F5B6AFF1656}" type="presParOf" srcId="{5E83EEA0-899F-4348-9CC7-CCB983189C30}" destId="{4FCE7241-275A-419E-B398-DB3A09FD341D}" srcOrd="1" destOrd="0" presId="urn:microsoft.com/office/officeart/2005/8/layout/orgChart1"/>
    <dgm:cxn modelId="{0DAC4C5F-543B-49F0-9F33-88351BF93918}" type="presParOf" srcId="{98B9ED93-3A4F-492D-B665-2F0C1C0CAA23}" destId="{3ECC94E5-D580-4772-BAA5-EAAFB301F938}" srcOrd="1" destOrd="0" presId="urn:microsoft.com/office/officeart/2005/8/layout/orgChart1"/>
    <dgm:cxn modelId="{63D69E37-8609-4E5E-A2F4-3619E883C8C7}" type="presParOf" srcId="{98B9ED93-3A4F-492D-B665-2F0C1C0CAA23}" destId="{3796EE49-F979-4EAA-9E2F-660ED9BF4D03}" srcOrd="2" destOrd="0" presId="urn:microsoft.com/office/officeart/2005/8/layout/orgChart1"/>
    <dgm:cxn modelId="{F33EF48D-22C9-47FC-A440-04B2C97294A3}" type="presParOf" srcId="{34150C27-1521-414B-8B35-BEEC0ECEA0DB}" destId="{E4D1AA04-96BE-4C7F-87DF-AD0B036655F2}" srcOrd="2" destOrd="0" presId="urn:microsoft.com/office/officeart/2005/8/layout/orgChart1"/>
    <dgm:cxn modelId="{A1911EDE-FD1A-44A0-90E8-25809556B647}" type="presParOf" srcId="{49400318-D702-4557-B5EF-037F4CB07571}" destId="{4A8A7734-128F-4A82-97A7-B6A76168CB90}" srcOrd="12" destOrd="0" presId="urn:microsoft.com/office/officeart/2005/8/layout/orgChart1"/>
    <dgm:cxn modelId="{B1458208-9764-4931-B7AB-997909474AAE}" type="presParOf" srcId="{49400318-D702-4557-B5EF-037F4CB07571}" destId="{D7FF9236-0F7A-4874-89DC-A5F25F2BA214}" srcOrd="13" destOrd="0" presId="urn:microsoft.com/office/officeart/2005/8/layout/orgChart1"/>
    <dgm:cxn modelId="{1F8DDA07-3B16-40B4-B775-6F1CBD5E64E2}" type="presParOf" srcId="{D7FF9236-0F7A-4874-89DC-A5F25F2BA214}" destId="{85AB7F32-377D-4C43-8A1A-AC2800F9C5BD}" srcOrd="0" destOrd="0" presId="urn:microsoft.com/office/officeart/2005/8/layout/orgChart1"/>
    <dgm:cxn modelId="{2F24E46F-A419-4590-8301-B2035C965227}" type="presParOf" srcId="{85AB7F32-377D-4C43-8A1A-AC2800F9C5BD}" destId="{F43972FB-4FF8-4893-AAC5-C004B8EB9F67}" srcOrd="0" destOrd="0" presId="urn:microsoft.com/office/officeart/2005/8/layout/orgChart1"/>
    <dgm:cxn modelId="{AE148D57-7FA2-4AD2-BADF-27A5A2942274}" type="presParOf" srcId="{85AB7F32-377D-4C43-8A1A-AC2800F9C5BD}" destId="{B1DD582A-916B-479F-AF58-285891870004}" srcOrd="1" destOrd="0" presId="urn:microsoft.com/office/officeart/2005/8/layout/orgChart1"/>
    <dgm:cxn modelId="{BAE4177A-1435-4DEA-882A-EEC0718A6CAD}" type="presParOf" srcId="{D7FF9236-0F7A-4874-89DC-A5F25F2BA214}" destId="{01952295-DD58-44CD-88AA-59663020402B}" srcOrd="1" destOrd="0" presId="urn:microsoft.com/office/officeart/2005/8/layout/orgChart1"/>
    <dgm:cxn modelId="{A1CC0A72-631C-4562-B79C-F59876E6F30C}" type="presParOf" srcId="{D7FF9236-0F7A-4874-89DC-A5F25F2BA214}" destId="{2D3D8365-AFCC-4497-B496-A5BF357A011B}" srcOrd="2" destOrd="0" presId="urn:microsoft.com/office/officeart/2005/8/layout/orgChart1"/>
    <dgm:cxn modelId="{43723F80-1327-4296-ACA0-122E64A35D23}" type="presParOf" srcId="{49400318-D702-4557-B5EF-037F4CB07571}" destId="{20819C3C-3219-42A5-AC37-EE68492AC14F}" srcOrd="14" destOrd="0" presId="urn:microsoft.com/office/officeart/2005/8/layout/orgChart1"/>
    <dgm:cxn modelId="{0B54E28F-A6AD-4D05-97D0-08661D81197B}" type="presParOf" srcId="{49400318-D702-4557-B5EF-037F4CB07571}" destId="{CE50B61B-5E89-4A07-8FBF-22D4AA933E5A}" srcOrd="15" destOrd="0" presId="urn:microsoft.com/office/officeart/2005/8/layout/orgChart1"/>
    <dgm:cxn modelId="{66355228-54AB-40A0-9466-B4762FD34651}" type="presParOf" srcId="{CE50B61B-5E89-4A07-8FBF-22D4AA933E5A}" destId="{255DEB48-79CF-4EFC-ACD5-78F86E5409D2}" srcOrd="0" destOrd="0" presId="urn:microsoft.com/office/officeart/2005/8/layout/orgChart1"/>
    <dgm:cxn modelId="{07EC42FA-63BD-4046-BACF-22E95DF415F8}" type="presParOf" srcId="{255DEB48-79CF-4EFC-ACD5-78F86E5409D2}" destId="{D3725C45-9C0C-474A-B976-BDEEF4151F76}" srcOrd="0" destOrd="0" presId="urn:microsoft.com/office/officeart/2005/8/layout/orgChart1"/>
    <dgm:cxn modelId="{BECE4687-CE8A-448A-84F2-D6B4A77FCDC6}" type="presParOf" srcId="{255DEB48-79CF-4EFC-ACD5-78F86E5409D2}" destId="{6191E62F-FEBD-44C3-A0BE-1D29781511CB}" srcOrd="1" destOrd="0" presId="urn:microsoft.com/office/officeart/2005/8/layout/orgChart1"/>
    <dgm:cxn modelId="{B21D9D09-93AA-43FA-B668-0A831329DB9F}" type="presParOf" srcId="{CE50B61B-5E89-4A07-8FBF-22D4AA933E5A}" destId="{9B734C63-B137-4907-A73A-BBF33E301B56}" srcOrd="1" destOrd="0" presId="urn:microsoft.com/office/officeart/2005/8/layout/orgChart1"/>
    <dgm:cxn modelId="{58F6A48D-F518-4418-8EF2-66367CD41AF8}" type="presParOf" srcId="{CE50B61B-5E89-4A07-8FBF-22D4AA933E5A}" destId="{38EA3D32-0D8F-4325-B2F2-7A4DEAF37431}" srcOrd="2" destOrd="0" presId="urn:microsoft.com/office/officeart/2005/8/layout/orgChart1"/>
    <dgm:cxn modelId="{F5D61D7D-B498-4C18-BDD2-1BCEEE0D6CC0}" type="presParOf" srcId="{A7F72A73-2424-4185-A25C-3DDEC3FD4FD6}" destId="{D82F3557-1FD2-41F2-99BB-4F10FF74CC2D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D02CB5C2-15A8-4F13-B367-B8CB0CBC99A7}" type="doc">
      <dgm:prSet loTypeId="urn:microsoft.com/office/officeart/2005/8/layout/orgChart1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n-US"/>
        </a:p>
      </dgm:t>
    </dgm:pt>
    <dgm:pt modelId="{70F991E4-7254-4D65-957C-26F95EF3B597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Said Drissi </a:t>
          </a:r>
        </a:p>
      </dgm:t>
    </dgm:pt>
    <dgm:pt modelId="{CFD2F8C5-3B67-45E4-9D3E-AF14CE6CB8B5}" type="parTrans" cxnId="{0DFDDF77-98E4-4A32-B777-D50628EA9DD4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C4444CB-0885-4111-A813-EB8B35336E71}" type="sibTrans" cxnId="{0DFDDF77-98E4-4A32-B777-D50628EA9DD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7878F06-5877-4A04-8C37-B9CE462940DA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Yasmeen  Masoud</a:t>
          </a:r>
        </a:p>
      </dgm:t>
    </dgm:pt>
    <dgm:pt modelId="{737744D7-AC0B-4161-B8BF-E8C8D025BD7B}" type="parTrans" cxnId="{E50789BB-823C-41D5-A5BD-44C52917E1CE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1150B54-6787-4B5C-817B-5E154D435F1F}" type="sibTrans" cxnId="{E50789BB-823C-41D5-A5BD-44C52917E1CE}">
      <dgm:prSet/>
      <dgm:spPr/>
      <dgm:t>
        <a:bodyPr/>
        <a:lstStyle/>
        <a:p>
          <a:endParaRPr lang="en-US"/>
        </a:p>
      </dgm:t>
    </dgm:pt>
    <dgm:pt modelId="{2A8E8F01-53D7-4466-ADD2-2D3E140F6BA1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Noora Al Bader</a:t>
          </a:r>
        </a:p>
      </dgm:t>
    </dgm:pt>
    <dgm:pt modelId="{0384E339-1ACD-4BC4-AD09-A8CA51DE7DC7}" type="parTrans" cxnId="{8B49F217-FE88-410D-B087-250915FB4C77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7C1A789-4B3B-49BF-BA0D-D58161168473}" type="sibTrans" cxnId="{8B49F217-FE88-410D-B087-250915FB4C77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748E4A4-276A-49B0-A971-36DE50F67E10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Maha  Al Azizi</a:t>
          </a:r>
        </a:p>
      </dgm:t>
    </dgm:pt>
    <dgm:pt modelId="{30BC17A7-6714-4179-8197-76256FD65BD0}" type="parTrans" cxnId="{22FA3E34-9A18-4E09-B300-2E0FE9B77F92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9FDC62D-59A7-408D-93BE-56DAD7A64707}" type="sibTrans" cxnId="{22FA3E34-9A18-4E09-B300-2E0FE9B77F9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1F4F594-4646-4DC7-897F-DD5DC1AAD81D}">
      <dgm:prSet phldrT="[Text]" custT="1"/>
      <dgm:spPr/>
      <dgm:t>
        <a:bodyPr/>
        <a:lstStyle/>
        <a:p>
          <a:r>
            <a:rPr lang="en-US" sz="14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gm:t>
    </dgm:pt>
    <dgm:pt modelId="{54FF72C3-93F1-4DC2-B0CC-728799C6D968}" type="parTrans" cxnId="{D1F470E1-8EED-49FE-8AD3-DE22CF0B9C39}">
      <dgm:prSet/>
      <dgm:spPr/>
      <dgm:t>
        <a:bodyPr/>
        <a:lstStyle/>
        <a:p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7E8B3EC-CAE2-4756-A53D-F1031650324C}" type="sibTrans" cxnId="{D1F470E1-8EED-49FE-8AD3-DE22CF0B9C39}">
      <dgm:prSet/>
      <dgm:spPr/>
      <dgm:t>
        <a:bodyPr/>
        <a:lstStyle/>
        <a:p>
          <a:endParaRPr lang="en-US"/>
        </a:p>
      </dgm:t>
    </dgm:pt>
    <dgm:pt modelId="{87808678-A671-475E-AF31-49E04FE77663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Benny Jose Joseph</a:t>
          </a:r>
        </a:p>
      </dgm:t>
    </dgm:pt>
    <dgm:pt modelId="{E96AAEDA-FE95-491D-95C5-984DDBE23987}" type="parTrans" cxnId="{A87E161D-624A-44EE-B878-05DA95CB8186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92C009D-76EF-4F09-8E95-06A6CA6A3B69}" type="sibTrans" cxnId="{A87E161D-624A-44EE-B878-05DA95CB818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D1B8B76-6D21-4B49-B3FE-0BB29CB58A29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Anwar AL Mussaibi</a:t>
          </a:r>
        </a:p>
      </dgm:t>
    </dgm:pt>
    <dgm:pt modelId="{415DFF72-198D-45E9-8CDC-10051DA61274}" type="parTrans" cxnId="{317FDF0D-3B92-43D6-AA12-C8D5E4752ABE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9703A75-A58F-4BD1-840E-73DFAA89E247}" type="sibTrans" cxnId="{317FDF0D-3B92-43D6-AA12-C8D5E4752ABE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4897AD8-34F1-45FF-B898-C4ECCF6F77B1}">
      <dgm:prSet phldrT="[Text]" custT="1"/>
      <dgm:spPr/>
      <dgm:t>
        <a:bodyPr/>
        <a:lstStyle/>
        <a:p>
          <a:r>
            <a:rPr lang="en-US" sz="14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Amruddin /Bilal</a:t>
          </a:r>
          <a:endParaRPr lang="en-US" sz="14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52884C7-BD6E-4808-9AC7-44B19628E78E}" type="parTrans" cxnId="{1469D1FB-3C04-42F1-8F3A-0684D04CDC72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A35B831-2334-4903-B9B2-219121F69A93}" type="sibTrans" cxnId="{1469D1FB-3C04-42F1-8F3A-0684D04CDC7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0099887-15D3-45D3-AB54-30AEFEA389D2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Aiham</a:t>
          </a:r>
        </a:p>
      </dgm:t>
    </dgm:pt>
    <dgm:pt modelId="{80F11534-6143-4464-8115-B140AB63F8AF}" type="parTrans" cxnId="{E8309E3A-E4C2-4DC8-ACBB-96129ACA76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CBBC5F5-00EE-44A5-A6A3-03B17F46D1BC}" type="sibTrans" cxnId="{E8309E3A-E4C2-4DC8-ACBB-96129ACA76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C51B67D-3EC3-45F3-A058-5097FF033899}">
      <dgm:prSet phldrT="[Text]" custT="1"/>
      <dgm:spPr/>
      <dgm:t>
        <a:bodyPr/>
        <a:lstStyle/>
        <a:p>
          <a:r>
            <a:rPr lang="en-US" sz="14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gm:t>
    </dgm:pt>
    <dgm:pt modelId="{05A575D2-1F37-4E08-BF0F-0C646350D782}" type="parTrans" cxnId="{4812FBB8-59C7-456C-967C-40ACDEC51C0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DE17B23-D5FB-49E0-997D-142ACF98A8A2}" type="sibTrans" cxnId="{4812FBB8-59C7-456C-967C-40ACDEC51C0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FB94F34-8E8D-4403-A4FF-D95CDA90D5D9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Licensing &amp; Regulatory Compliance</a:t>
          </a:r>
        </a:p>
      </dgm:t>
    </dgm:pt>
    <dgm:pt modelId="{43D31BBD-483D-425F-912A-4E240DA2B490}" type="parTrans" cxnId="{EB107F85-4DF4-4145-989D-2A6561E08E00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27F8472-904D-443F-AE9C-7F12F0CE21E4}" type="sibTrans" cxnId="{EB107F85-4DF4-4145-989D-2A6561E08E00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0016FBB-3F31-4FF3-95C1-FD5622CAE2FF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Visitors Experience</a:t>
          </a:r>
        </a:p>
      </dgm:t>
    </dgm:pt>
    <dgm:pt modelId="{853754F3-5179-4896-9CCC-49E63DDE4BE2}" type="parTrans" cxnId="{AD4871EA-60E0-49C9-A7AD-E6D3D932FF7B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AB2A424-31AD-43D3-A110-46BECACC52E3}" type="sibTrans" cxnId="{AD4871EA-60E0-49C9-A7AD-E6D3D932FF7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36C64A2-290F-46AD-8694-B33DC2DEFE0A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Conventions &amp; Exhibition Bureau</a:t>
          </a:r>
        </a:p>
      </dgm:t>
    </dgm:pt>
    <dgm:pt modelId="{F0A9F6DB-A876-4FE5-A68F-7ADC46691621}" type="parTrans" cxnId="{F1B518DE-4A65-4CE0-BE99-8732B495E851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261AAC7-9B7A-4744-8236-2B783C0612B3}" type="sibTrans" cxnId="{F1B518DE-4A65-4CE0-BE99-8732B495E851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9693103-0A52-4ED7-BCB3-5BDB07D60093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Events Bureau</a:t>
          </a:r>
        </a:p>
      </dgm:t>
    </dgm:pt>
    <dgm:pt modelId="{3854F94D-059C-4E95-9219-9143D2EBF524}" type="parTrans" cxnId="{8AEFE1EB-95C9-498A-B329-809812E7F87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11C633D-9AD9-46E7-95E8-3ACE8BE56C0F}" type="sibTrans" cxnId="{8AEFE1EB-95C9-498A-B329-809812E7F87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D9038CC-E08B-4206-B3F9-3D0B0CAD45B4}">
      <dgm:prSet custT="1"/>
      <dgm:spPr/>
      <dgm:t>
        <a:bodyPr/>
        <a:lstStyle/>
        <a:p>
          <a:r>
            <a:rPr lang="en-US" sz="10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 Ain &amp; Al Dhafra Regional Development</a:t>
          </a:r>
        </a:p>
      </dgm:t>
    </dgm:pt>
    <dgm:pt modelId="{CC770B51-AE55-4BCE-B849-3388ACF88B02}" type="parTrans" cxnId="{CB9D66D3-6B46-4D24-8F76-B882C1FB764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573EB19-D4B7-4458-A0EB-9F2CA464E7D1}" type="sibTrans" cxnId="{CB9D66D3-6B46-4D24-8F76-B882C1FB764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5243D2E-ADF1-4B1E-8FBE-88320EF10A63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Support Services (Central)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9E605B3-2659-4E36-80B0-D57323BB4871}" type="parTrans" cxnId="{2F9473A1-B4B6-4311-BBA0-B2F80BA5C25B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A92A4BB-8C77-486C-89FF-21BFF842D9D2}" type="sibTrans" cxnId="{2F9473A1-B4B6-4311-BBA0-B2F80BA5C2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0281C54-0751-4A4D-8C2E-8108CCA18992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Finance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3919E75-DAAE-47ED-90DB-C033769C37DC}" type="parTrans" cxnId="{36EB234E-BCC5-4C0D-9C2C-5766AFED02D2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7032F8E-B65D-4C35-9F75-76490D0E3A42}" type="sibTrans" cxnId="{36EB234E-BCC5-4C0D-9C2C-5766AFED02D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34424E-8BBE-44F3-AB45-5236423699C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People &amp; Performance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C8136DE-0B50-405A-B9A8-F66D7A134F14}" type="parTrans" cxnId="{8561400F-382B-4CC4-8CC0-1BC970D8D35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2E3EE57-0411-40BA-BD5E-7EEE74C45266}" type="sibTrans" cxnId="{8561400F-382B-4CC4-8CC0-1BC970D8D35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3E9EEA0-4202-4F92-AE86-52E831CDD87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Facility Management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ACF1A68-C049-436E-97A3-1CF69AB915D8}" type="parTrans" cxnId="{92A9A35C-82F1-4F90-B20F-BF930353B4A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E2FC609-CCA1-4140-9F01-7970F932A319}" type="sibTrans" cxnId="{92A9A35C-82F1-4F90-B20F-BF930353B4A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43F91C0-2A99-480C-84D5-131E6AC63288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Supply Management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003EE19F-033D-47B2-8191-7BAA9CF1CCAA}" type="parTrans" cxnId="{0A624023-1AD9-4B02-B924-3FCC401FE88D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F2A5253-62F9-494F-B27F-4CB7E146E341}" type="sibTrans" cxnId="{0A624023-1AD9-4B02-B924-3FCC401FE88D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0B9972C5-D9C7-41C0-BDA4-F67718C3DFE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Affairs Executive Director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C793535-AAE9-4525-8F32-D025EF0EB953}" type="parTrans" cxnId="{FF9B92BC-2769-41E3-9C0F-6E8C75746652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7BEB367-0FEB-49AE-89C1-6056A08F1648}" type="sibTrans" cxnId="{FF9B92BC-2769-41E3-9C0F-6E8C75746652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0D8A88-0315-4925-922E-91051C3ECBAD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Strategy Planning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62CA505-4983-4142-BF53-95334CF57C59}" type="parTrans" cxnId="{9C8076BA-97C0-45C3-A19A-C680DC39640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7D724B9-A507-4EAA-A8A2-FC3D1B744ADE}" type="sibTrans" cxnId="{9C8076BA-97C0-45C3-A19A-C680DC39640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25ABE28-D360-496D-9B6C-ECB26119C58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Intelligence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F2139A9-7750-4947-A7C5-18C839D17192}" type="parTrans" cxnId="{9266C580-BE08-4CCE-9A83-A39F31E1D90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F9907FA-FC7B-4D7F-9769-51AFE919700A}" type="sibTrans" cxnId="{9266C580-BE08-4CCE-9A83-A39F31E1D90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FDE9346-7471-48C1-ABB0-987F9D56D9D6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Excellence and Continuity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030327D-25F6-45AA-BBCF-98B66A5F6CD7}" type="parTrans" cxnId="{CF44EC9A-5DED-4321-A79A-11CC489E702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D00366C-D07E-4D99-B524-DB0E5C980E09}" type="sibTrans" cxnId="{CF44EC9A-5DED-4321-A79A-11CC489E702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2ECD54F-54D4-4681-8029-23E2EDD8358D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Historical Environment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810BA95-A49D-472D-8283-C9E5E9E072C8}" type="parTrans" cxnId="{3C3C66B7-51AA-424F-B079-941C0B4D150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552BEF3-9D43-43F1-A5AE-3AB12FA012BC}" type="sibTrans" cxnId="{3C3C66B7-51AA-424F-B079-941C0B4D150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57D9A7B-4976-4B9D-8894-30B5C68DDDE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Intangible Heritage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749D2E4-45B8-4EB7-BE0A-C54E27589149}" type="parTrans" cxnId="{834AC479-234E-4AB3-B5DA-BA566F4C4D09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7262E15-9DE9-4025-AD8B-3BB803EFE2E2}" type="sibTrans" cxnId="{834AC479-234E-4AB3-B5DA-BA566F4C4D09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D9A8D77-30E2-4188-91DA-23298310B5D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Library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713E91C-68D1-445C-82D0-A9D217B905E3}" type="parTrans" cxnId="{3FC75CE8-7490-42EE-A329-B2A7F15A74D6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1E739A3-3C48-440A-A2CF-0E7555E32EB9}" type="sibTrans" cxnId="{3FC75CE8-7490-42EE-A329-B2A7F15A74D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B3705C8-4447-459F-8152-B38235050BF8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ED Gaming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DF1B5A3-DB16-4E9B-8DED-ECA1D1E9DCB6}" type="parTrans" cxnId="{BCED75FC-E92C-4AFD-A58A-1A7E7C91D09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71303A0-CADB-4BDC-9E87-D1002237D4E4}" type="sibTrans" cxnId="{BCED75FC-E92C-4AFD-A58A-1A7E7C91D09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281E577-4DA2-49FC-A3F8-F3A4DFDF907C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(Central)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C738665-2EDD-40D1-B598-35303CE27844}" type="parTrans" cxnId="{910FD2CD-2E3E-41FB-84B0-A54620329437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4C2784E-364A-48FE-8E2A-858813FEE311}" type="sibTrans" cxnId="{910FD2CD-2E3E-41FB-84B0-A54620329437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3645FE4-99EB-49CA-888A-7F89D3A734A9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Public Art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3F73760-FC6F-45A7-9CF9-94C30BE535F8}" type="parTrans" cxnId="{7D5C47AA-EE82-4A6A-AD63-4ED563ACBEDE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B0E847B-38E4-4688-9A4D-5BA182E99DCE}" type="sibTrans" cxnId="{7D5C47AA-EE82-4A6A-AD63-4ED563ACBEDE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FB395539-FD74-4463-8173-95B1B17CBEC0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Planning &amp; Development Dept.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80D808F-B161-413F-AA96-4ABECE658F93}" type="parTrans" cxnId="{68739072-6218-4D4F-AD22-B2A63893BC5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07A00498-77CA-48B0-9961-D90F4E970E2B}" type="sibTrans" cxnId="{68739072-6218-4D4F-AD22-B2A63893BC5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29E5C84-A25E-4526-AC07-B81EFEAF4EC4}">
      <dgm:prSet phldrT="[Text]" custT="1"/>
      <dgm:spPr/>
      <dgm:t>
        <a:bodyPr/>
        <a:lstStyle/>
        <a:p>
          <a:r>
            <a:rPr lang="en-US" sz="14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Mohamed Elgayar</a:t>
          </a:r>
        </a:p>
      </dgm:t>
    </dgm:pt>
    <dgm:pt modelId="{B501625E-3000-4BBF-999F-7B7A220B04FF}" type="sibTrans" cxnId="{81301646-878D-4E40-A5C0-B3DFB81FC3E7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A229108-FAAD-49C7-AFD0-49F1DE20AB0D}" type="parTrans" cxnId="{81301646-878D-4E40-A5C0-B3DFB81FC3E7}">
      <dgm:prSet/>
      <dgm:spPr/>
      <dgm:t>
        <a:bodyPr/>
        <a:lstStyle/>
        <a:p>
          <a:endParaRPr lang="en-US" sz="12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0765FD2-5ACA-4427-8ADC-0C3FC86ED222}">
      <dgm:prSet phldrT="[Text]"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Sites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DE97EB0-E245-4C18-9660-E902E4639B51}" type="parTrans" cxnId="{5EE2FF19-3D31-4AA1-A5C2-9A05CECCF8E1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4380479-A4A1-49C0-BDF4-67B303A56E5B}" type="sibTrans" cxnId="{5EE2FF19-3D31-4AA1-A5C2-9A05CECCF8E1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7CCBC15-826E-456A-B23F-2244AA78CFCA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Marketing &amp; Communication Dept.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DAB7846-2B48-4259-9592-16E8D0923BE2}" type="parTrans" cxnId="{1658EF26-661C-421F-8D7E-859212E77B1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1F4A86A-C4E5-47B3-80EB-4995ABDCE0BB}" type="sibTrans" cxnId="{1658EF26-661C-421F-8D7E-859212E77B1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7A6ACAB-50D6-4E51-A191-88EB499C56B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Programs Dept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49E17B0-E492-4847-A6D7-3A0680ECC2AB}" type="parTrans" cxnId="{94E4FA53-0572-4932-A329-CC0FEAC48B94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7F0ABAA-0FCF-4B3F-9882-3809DE141368}" type="sibTrans" cxnId="{94E4FA53-0572-4932-A329-CC0FEAC48B94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312208C-D839-45A5-9CB2-413BC2229699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Festivals &amp; Platforms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4E7AB2-1F3E-4248-94FD-949B677B44A5}" type="parTrans" cxnId="{8863BC43-8A8E-4B42-9ECF-3E219E71A585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FA61ADE-D9F1-4814-8364-84424208FB5C}" type="sibTrans" cxnId="{8863BC43-8A8E-4B42-9ECF-3E219E71A585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196EC7F-FD16-45B0-BE2A-DA56699DA492}">
      <dgm:prSet phldrT="[Text]"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Creative and Production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2E1643A-3ECD-436E-A5EC-163390F39E85}" type="parTrans" cxnId="{2DE1BC55-18C4-436F-B490-6F9D7E0D3843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D316F71-1492-423D-91D6-8444BCDB7B67}" type="sibTrans" cxnId="{2DE1BC55-18C4-436F-B490-6F9D7E0D3843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1FF4F9D-D92E-4718-8B2A-B39C727AF53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Communications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F3DCC9D-C6CA-468D-8612-0EFB4C9E2D49}" type="parTrans" cxnId="{533474A8-D754-45D7-802D-2B28CC6C03AC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43B3518-D7D8-4A64-9C35-2644A8F0F545}" type="sibTrans" cxnId="{533474A8-D754-45D7-802D-2B28CC6C03AC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D48A6CE-2D76-4F2F-A23C-13DFC9BE684B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Planning, Strategy &amp; Operations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ACFA607-348B-4159-983B-3D008F2DBA35}" type="parTrans" cxnId="{24098E88-FF92-4D8A-B9EB-094A96C16A48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E954B39-2233-40B1-BBE1-A9535459A7E6}" type="sibTrans" cxnId="{24098E88-FF92-4D8A-B9EB-094A96C16A48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869D9B4-145E-4673-A8F5-822BE4C613F4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Sector Marketing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0401FAB-9ED2-45C8-A059-202163F512DF}" type="parTrans" cxnId="{BD3E0A40-6CEA-46DF-B6AA-BD87793E8AAE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DE28BD27-D9CA-4E63-923A-34D8ED12CCA9}" type="sibTrans" cxnId="{BD3E0A40-6CEA-46DF-B6AA-BD87793E8AAE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1A31DAE-352E-4BF8-92BF-E24226CA7F1A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International Operations Department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8B1B9236-759F-4888-889F-DDB8592BF68C}" type="parTrans" cxnId="{402B34E7-7209-40EE-9D7A-7BB02F4DF128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68B5ABE-BBBA-469D-B5DC-AB083CFF025C}" type="sibTrans" cxnId="{402B34E7-7209-40EE-9D7A-7BB02F4DF128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57B79B5-EFE9-420B-A014-B50436A48FB4}">
      <dgm:prSet phldrT="[Text]"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Arabic Language Central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C49922A3-A0EC-4C2E-A98C-56B9A13ECBDB}" type="parTrans" cxnId="{A33BECF0-5097-4926-A414-A2609C951B5B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FD24C50-5C8A-49A8-B0AF-B1B74CF8D0D8}" type="sibTrans" cxnId="{A33BECF0-5097-4926-A414-A2609C951B5B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C290877-55A4-4220-832E-847C900223F3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Executive Management Office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EECF37D3-989C-40FA-8662-078302211D56}" type="parTrans" cxnId="{BCE2409F-ADE2-4BAE-8BA4-29BA2A177780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A8EA3B12-5FD8-4B90-91A5-2191A52AC5FD}" type="sibTrans" cxnId="{BCE2409F-ADE2-4BAE-8BA4-29BA2A177780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5F6E853-1EE3-4A82-BB4E-9408BE3F71D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Internal Audit    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2E69B5C-2E62-44B6-B471-7CE2F0B3E417}" type="parTrans" cxnId="{1EEDFF06-F91C-4D56-AD5C-BDEBF7591A46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0BAD80B-9A91-4B6D-8D76-61165FFF9FDF}" type="sibTrans" cxnId="{1EEDFF06-F91C-4D56-AD5C-BDEBF7591A4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B2444568-1380-4166-8780-CA6D34331087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Project Management &amp; Engineering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1C799DAB-C819-4008-9F60-BBB9E87BD8B4}" type="parTrans" cxnId="{E8EAA234-5F20-46AD-97AD-6AE70A2AEA3D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739ABAB6-4692-402C-9A68-B39EE030E498}" type="sibTrans" cxnId="{E8EAA234-5F20-46AD-97AD-6AE70A2AEA3D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336FF252-47EF-4A25-B52C-EECD2AF783EE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Tendering &amp; Projects Control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4BA56DC7-2374-4ACE-A095-007F574E3E39}" type="parTrans" cxnId="{40761035-EFA4-4100-8FC7-2932E2C05438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A9DE971-DE45-460B-8A52-55E5C8AF8E00}" type="sibTrans" cxnId="{40761035-EFA4-4100-8FC7-2932E2C05438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6252BBB8-3B4F-43A2-A776-FBBB3F2F6AAA}">
      <dgm:prSet custT="1"/>
      <dgm:spPr/>
      <dgm:t>
        <a:bodyPr/>
        <a:lstStyle/>
        <a:p>
          <a:r>
            <a:rPr lang="en-US" sz="1000" b="0" i="0" u="none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Legal &amp; Government Affairs  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53857D96-BB93-4331-AB98-979E5BC95AF3}" type="parTrans" cxnId="{E7F8D839-1C25-4B54-A2C9-F7E9A7F3DC16}">
      <dgm:prSet/>
      <dgm:spPr/>
      <dgm:t>
        <a:bodyPr/>
        <a:lstStyle/>
        <a:p>
          <a:endParaRPr lang="en-US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CD8BAFF-0674-4843-8D22-FE9825747F36}" type="sibTrans" cxnId="{E7F8D839-1C25-4B54-A2C9-F7E9A7F3DC16}">
      <dgm:prSet/>
      <dgm:spPr/>
      <dgm:t>
        <a:bodyPr/>
        <a:lstStyle/>
        <a:p>
          <a:endParaRPr lang="en-US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23E77321-1DBA-4992-9408-DD6298BB1666}">
      <dgm:prSet custT="1"/>
      <dgm:spPr/>
      <dgm:t>
        <a:bodyPr/>
        <a:lstStyle/>
        <a:p>
          <a:r>
            <a:rPr lang="en-US" sz="1000" b="0" i="0" u="none">
              <a:solidFill>
                <a:schemeClr val="bg1"/>
              </a:solidFill>
            </a:rPr>
            <a:t>Tourism Sector Management Office</a:t>
          </a:r>
          <a:endParaRPr lang="en-US" sz="1000" b="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gm:t>
    </dgm:pt>
    <dgm:pt modelId="{99F3D899-E589-4363-B042-C72BF417E000}" type="parTrans" cxnId="{0E1C4AB8-674E-4463-8B47-FDD20B52411A}">
      <dgm:prSet/>
      <dgm:spPr/>
      <dgm:t>
        <a:bodyPr/>
        <a:lstStyle/>
        <a:p>
          <a:endParaRPr lang="en-US">
            <a:solidFill>
              <a:schemeClr val="bg1"/>
            </a:solidFill>
          </a:endParaRPr>
        </a:p>
      </dgm:t>
    </dgm:pt>
    <dgm:pt modelId="{648C3BAC-BAC1-4A0E-B456-AB49C3112EE3}" type="sibTrans" cxnId="{0E1C4AB8-674E-4463-8B47-FDD20B52411A}">
      <dgm:prSet/>
      <dgm:spPr/>
      <dgm:t>
        <a:bodyPr/>
        <a:lstStyle/>
        <a:p>
          <a:endParaRPr lang="en-US"/>
        </a:p>
      </dgm:t>
    </dgm:pt>
    <dgm:pt modelId="{3C0D51AF-8D5A-4E53-BF5F-084B1F6F69D3}" type="pres">
      <dgm:prSet presAssocID="{D02CB5C2-15A8-4F13-B367-B8CB0CBC99A7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8629369B-5745-456A-B366-B96CA49379E0}" type="pres">
      <dgm:prSet presAssocID="{F0099887-15D3-45D3-AB54-30AEFEA389D2}" presName="hierRoot1" presStyleCnt="0">
        <dgm:presLayoutVars>
          <dgm:hierBranch val="init"/>
        </dgm:presLayoutVars>
      </dgm:prSet>
      <dgm:spPr/>
    </dgm:pt>
    <dgm:pt modelId="{FD54F355-E13D-4B30-82CB-A0CD6C2B55CB}" type="pres">
      <dgm:prSet presAssocID="{F0099887-15D3-45D3-AB54-30AEFEA389D2}" presName="rootComposite1" presStyleCnt="0"/>
      <dgm:spPr/>
    </dgm:pt>
    <dgm:pt modelId="{834094A9-3C89-49F6-BB8D-6DAC24759C40}" type="pres">
      <dgm:prSet presAssocID="{F0099887-15D3-45D3-AB54-30AEFEA389D2}" presName="rootText1" presStyleLbl="node0" presStyleIdx="0" presStyleCnt="1" custScaleY="82645">
        <dgm:presLayoutVars>
          <dgm:chPref val="3"/>
        </dgm:presLayoutVars>
      </dgm:prSet>
      <dgm:spPr/>
    </dgm:pt>
    <dgm:pt modelId="{FAEAC0C7-1EBF-40C6-A1CB-AEFDA2839575}" type="pres">
      <dgm:prSet presAssocID="{F0099887-15D3-45D3-AB54-30AEFEA389D2}" presName="rootConnector1" presStyleLbl="node1" presStyleIdx="0" presStyleCnt="0"/>
      <dgm:spPr/>
    </dgm:pt>
    <dgm:pt modelId="{87783880-6501-4E4C-A767-CBA61EDD6660}" type="pres">
      <dgm:prSet presAssocID="{F0099887-15D3-45D3-AB54-30AEFEA389D2}" presName="hierChild2" presStyleCnt="0"/>
      <dgm:spPr/>
    </dgm:pt>
    <dgm:pt modelId="{CA48A81E-83D4-4691-AA83-3073914F9C98}" type="pres">
      <dgm:prSet presAssocID="{54FF72C3-93F1-4DC2-B0CC-728799C6D968}" presName="Name37" presStyleLbl="parChTrans1D2" presStyleIdx="0" presStyleCnt="2"/>
      <dgm:spPr/>
    </dgm:pt>
    <dgm:pt modelId="{C6127537-0B29-4740-83E6-D5BC2CC9DFC3}" type="pres">
      <dgm:prSet presAssocID="{E1F4F594-4646-4DC7-897F-DD5DC1AAD81D}" presName="hierRoot2" presStyleCnt="0">
        <dgm:presLayoutVars>
          <dgm:hierBranch val="init"/>
        </dgm:presLayoutVars>
      </dgm:prSet>
      <dgm:spPr/>
    </dgm:pt>
    <dgm:pt modelId="{BD0E303F-8DB2-4BA6-8534-0E4DFE1FC6B5}" type="pres">
      <dgm:prSet presAssocID="{E1F4F594-4646-4DC7-897F-DD5DC1AAD81D}" presName="rootComposite" presStyleCnt="0"/>
      <dgm:spPr/>
    </dgm:pt>
    <dgm:pt modelId="{D3FAA5C8-1929-4686-98B8-2F11E01310C9}" type="pres">
      <dgm:prSet presAssocID="{E1F4F594-4646-4DC7-897F-DD5DC1AAD81D}" presName="rootText" presStyleLbl="node2" presStyleIdx="0" presStyleCnt="2" custScaleY="82645">
        <dgm:presLayoutVars>
          <dgm:chPref val="3"/>
        </dgm:presLayoutVars>
      </dgm:prSet>
      <dgm:spPr/>
    </dgm:pt>
    <dgm:pt modelId="{7AC2D858-473F-47A4-B36A-05B02D0BC482}" type="pres">
      <dgm:prSet presAssocID="{E1F4F594-4646-4DC7-897F-DD5DC1AAD81D}" presName="rootConnector" presStyleLbl="node2" presStyleIdx="0" presStyleCnt="2"/>
      <dgm:spPr/>
    </dgm:pt>
    <dgm:pt modelId="{B22347B0-A0C5-4947-AC70-458F4954410D}" type="pres">
      <dgm:prSet presAssocID="{E1F4F594-4646-4DC7-897F-DD5DC1AAD81D}" presName="hierChild4" presStyleCnt="0"/>
      <dgm:spPr/>
    </dgm:pt>
    <dgm:pt modelId="{D0277A88-5680-404E-AF09-676F33A75867}" type="pres">
      <dgm:prSet presAssocID="{737744D7-AC0B-4161-B8BF-E8C8D025BD7B}" presName="Name37" presStyleLbl="parChTrans1D3" presStyleIdx="0" presStyleCnt="8"/>
      <dgm:spPr/>
    </dgm:pt>
    <dgm:pt modelId="{97745BC1-33B1-4AAD-B89D-4C659C3CB18E}" type="pres">
      <dgm:prSet presAssocID="{A7878F06-5877-4A04-8C37-B9CE462940DA}" presName="hierRoot2" presStyleCnt="0">
        <dgm:presLayoutVars>
          <dgm:hierBranch val="init"/>
        </dgm:presLayoutVars>
      </dgm:prSet>
      <dgm:spPr/>
    </dgm:pt>
    <dgm:pt modelId="{9E10317F-2EE7-4AFE-90D3-AB47DD1F3162}" type="pres">
      <dgm:prSet presAssocID="{A7878F06-5877-4A04-8C37-B9CE462940DA}" presName="rootComposite" presStyleCnt="0"/>
      <dgm:spPr/>
    </dgm:pt>
    <dgm:pt modelId="{6E277A6C-BB40-47AF-92E1-D8B684F30605}" type="pres">
      <dgm:prSet presAssocID="{A7878F06-5877-4A04-8C37-B9CE462940DA}" presName="rootText" presStyleLbl="node3" presStyleIdx="0" presStyleCnt="8" custScaleY="82645">
        <dgm:presLayoutVars>
          <dgm:chPref val="3"/>
        </dgm:presLayoutVars>
      </dgm:prSet>
      <dgm:spPr/>
    </dgm:pt>
    <dgm:pt modelId="{22A1BA19-E955-437E-9420-B790158008FE}" type="pres">
      <dgm:prSet presAssocID="{A7878F06-5877-4A04-8C37-B9CE462940DA}" presName="rootConnector" presStyleLbl="node3" presStyleIdx="0" presStyleCnt="8"/>
      <dgm:spPr/>
    </dgm:pt>
    <dgm:pt modelId="{AB242A9B-F1FA-4DFD-8291-E91F81B586EF}" type="pres">
      <dgm:prSet presAssocID="{A7878F06-5877-4A04-8C37-B9CE462940DA}" presName="hierChild4" presStyleCnt="0"/>
      <dgm:spPr/>
    </dgm:pt>
    <dgm:pt modelId="{5BE1ED46-602B-4EE1-A80E-622BAA5D8B53}" type="pres">
      <dgm:prSet presAssocID="{C49922A3-A0EC-4C2E-A98C-56B9A13ECBDB}" presName="Name37" presStyleLbl="parChTrans1D4" presStyleIdx="0" presStyleCnt="37"/>
      <dgm:spPr/>
    </dgm:pt>
    <dgm:pt modelId="{557C6798-577C-43A5-84DE-6DC6E69FC5BA}" type="pres">
      <dgm:prSet presAssocID="{457B79B5-EFE9-420B-A014-B50436A48FB4}" presName="hierRoot2" presStyleCnt="0">
        <dgm:presLayoutVars>
          <dgm:hierBranch val="init"/>
        </dgm:presLayoutVars>
      </dgm:prSet>
      <dgm:spPr/>
    </dgm:pt>
    <dgm:pt modelId="{1BA424CD-B34E-4E2F-9A4A-FAD3895B5159}" type="pres">
      <dgm:prSet presAssocID="{457B79B5-EFE9-420B-A014-B50436A48FB4}" presName="rootComposite" presStyleCnt="0"/>
      <dgm:spPr/>
    </dgm:pt>
    <dgm:pt modelId="{9EB29434-4795-43E3-9B5B-1DE77CC5F7CB}" type="pres">
      <dgm:prSet presAssocID="{457B79B5-EFE9-420B-A014-B50436A48FB4}" presName="rootText" presStyleLbl="node4" presStyleIdx="0" presStyleCnt="37" custScaleY="82645">
        <dgm:presLayoutVars>
          <dgm:chPref val="3"/>
        </dgm:presLayoutVars>
      </dgm:prSet>
      <dgm:spPr/>
    </dgm:pt>
    <dgm:pt modelId="{ABACC641-9DF9-4914-BFFC-2CECE08FCE4C}" type="pres">
      <dgm:prSet presAssocID="{457B79B5-EFE9-420B-A014-B50436A48FB4}" presName="rootConnector" presStyleLbl="node4" presStyleIdx="0" presStyleCnt="37"/>
      <dgm:spPr/>
    </dgm:pt>
    <dgm:pt modelId="{274FFD7F-1F2D-4D0B-9665-A1D62CCC8E3F}" type="pres">
      <dgm:prSet presAssocID="{457B79B5-EFE9-420B-A014-B50436A48FB4}" presName="hierChild4" presStyleCnt="0"/>
      <dgm:spPr/>
    </dgm:pt>
    <dgm:pt modelId="{2385C411-F4CF-4D76-A82B-B96605809602}" type="pres">
      <dgm:prSet presAssocID="{457B79B5-EFE9-420B-A014-B50436A48FB4}" presName="hierChild5" presStyleCnt="0"/>
      <dgm:spPr/>
    </dgm:pt>
    <dgm:pt modelId="{20A24862-4887-4AC9-82C3-C338E4C43A67}" type="pres">
      <dgm:prSet presAssocID="{EECF37D3-989C-40FA-8662-078302211D56}" presName="Name37" presStyleLbl="parChTrans1D4" presStyleIdx="1" presStyleCnt="37"/>
      <dgm:spPr/>
    </dgm:pt>
    <dgm:pt modelId="{B40E575E-2A07-4EDE-9770-70FD8F925C7C}" type="pres">
      <dgm:prSet presAssocID="{6C290877-55A4-4220-832E-847C900223F3}" presName="hierRoot2" presStyleCnt="0">
        <dgm:presLayoutVars>
          <dgm:hierBranch val="init"/>
        </dgm:presLayoutVars>
      </dgm:prSet>
      <dgm:spPr/>
    </dgm:pt>
    <dgm:pt modelId="{FCCD8547-5F23-4120-99A7-C07FB3EA5C0A}" type="pres">
      <dgm:prSet presAssocID="{6C290877-55A4-4220-832E-847C900223F3}" presName="rootComposite" presStyleCnt="0"/>
      <dgm:spPr/>
    </dgm:pt>
    <dgm:pt modelId="{3F157303-74D2-481F-AD1C-48C294EC71DA}" type="pres">
      <dgm:prSet presAssocID="{6C290877-55A4-4220-832E-847C900223F3}" presName="rootText" presStyleLbl="node4" presStyleIdx="1" presStyleCnt="37" custScaleY="82645">
        <dgm:presLayoutVars>
          <dgm:chPref val="3"/>
        </dgm:presLayoutVars>
      </dgm:prSet>
      <dgm:spPr/>
    </dgm:pt>
    <dgm:pt modelId="{87A3AC91-25DD-4A9D-B7F0-639A09FF888A}" type="pres">
      <dgm:prSet presAssocID="{6C290877-55A4-4220-832E-847C900223F3}" presName="rootConnector" presStyleLbl="node4" presStyleIdx="1" presStyleCnt="37"/>
      <dgm:spPr/>
    </dgm:pt>
    <dgm:pt modelId="{B163F421-C93C-414A-AFBD-587DDB5BDE97}" type="pres">
      <dgm:prSet presAssocID="{6C290877-55A4-4220-832E-847C900223F3}" presName="hierChild4" presStyleCnt="0"/>
      <dgm:spPr/>
    </dgm:pt>
    <dgm:pt modelId="{4A05C960-2F15-401D-B99F-D26F7567711D}" type="pres">
      <dgm:prSet presAssocID="{6C290877-55A4-4220-832E-847C900223F3}" presName="hierChild5" presStyleCnt="0"/>
      <dgm:spPr/>
    </dgm:pt>
    <dgm:pt modelId="{E9EA99C5-E131-407D-A12F-307D4CEFCBD0}" type="pres">
      <dgm:prSet presAssocID="{22E69B5C-2E62-44B6-B471-7CE2F0B3E417}" presName="Name37" presStyleLbl="parChTrans1D4" presStyleIdx="2" presStyleCnt="37"/>
      <dgm:spPr/>
    </dgm:pt>
    <dgm:pt modelId="{ED809C48-3711-4B4B-89CC-20C4B3C6797F}" type="pres">
      <dgm:prSet presAssocID="{65F6E853-1EE3-4A82-BB4E-9408BE3F71DE}" presName="hierRoot2" presStyleCnt="0">
        <dgm:presLayoutVars>
          <dgm:hierBranch val="init"/>
        </dgm:presLayoutVars>
      </dgm:prSet>
      <dgm:spPr/>
    </dgm:pt>
    <dgm:pt modelId="{4B951EC2-93CB-4691-A793-28751CD7FE98}" type="pres">
      <dgm:prSet presAssocID="{65F6E853-1EE3-4A82-BB4E-9408BE3F71DE}" presName="rootComposite" presStyleCnt="0"/>
      <dgm:spPr/>
    </dgm:pt>
    <dgm:pt modelId="{291B6C9E-C9DF-46F0-AA90-E75BDB4160C0}" type="pres">
      <dgm:prSet presAssocID="{65F6E853-1EE3-4A82-BB4E-9408BE3F71DE}" presName="rootText" presStyleLbl="node4" presStyleIdx="2" presStyleCnt="37" custScaleY="82645">
        <dgm:presLayoutVars>
          <dgm:chPref val="3"/>
        </dgm:presLayoutVars>
      </dgm:prSet>
      <dgm:spPr/>
    </dgm:pt>
    <dgm:pt modelId="{63980A6B-0054-4709-8FAE-6A2472C3F2C9}" type="pres">
      <dgm:prSet presAssocID="{65F6E853-1EE3-4A82-BB4E-9408BE3F71DE}" presName="rootConnector" presStyleLbl="node4" presStyleIdx="2" presStyleCnt="37"/>
      <dgm:spPr/>
    </dgm:pt>
    <dgm:pt modelId="{EC74AD5F-0EA0-43D6-AB8E-06D70BE6CA5B}" type="pres">
      <dgm:prSet presAssocID="{65F6E853-1EE3-4A82-BB4E-9408BE3F71DE}" presName="hierChild4" presStyleCnt="0"/>
      <dgm:spPr/>
    </dgm:pt>
    <dgm:pt modelId="{98029D29-9663-4270-B5BB-ACA46DB31592}" type="pres">
      <dgm:prSet presAssocID="{65F6E853-1EE3-4A82-BB4E-9408BE3F71DE}" presName="hierChild5" presStyleCnt="0"/>
      <dgm:spPr/>
    </dgm:pt>
    <dgm:pt modelId="{74B7CBFD-50A9-4F45-9591-C11F9568732E}" type="pres">
      <dgm:prSet presAssocID="{1C799DAB-C819-4008-9F60-BBB9E87BD8B4}" presName="Name37" presStyleLbl="parChTrans1D4" presStyleIdx="3" presStyleCnt="37"/>
      <dgm:spPr/>
    </dgm:pt>
    <dgm:pt modelId="{71D44227-6693-4043-A79F-A02312F1821A}" type="pres">
      <dgm:prSet presAssocID="{B2444568-1380-4166-8780-CA6D34331087}" presName="hierRoot2" presStyleCnt="0">
        <dgm:presLayoutVars>
          <dgm:hierBranch val="init"/>
        </dgm:presLayoutVars>
      </dgm:prSet>
      <dgm:spPr/>
    </dgm:pt>
    <dgm:pt modelId="{65E810A5-E961-44F9-A15A-4912A299AB29}" type="pres">
      <dgm:prSet presAssocID="{B2444568-1380-4166-8780-CA6D34331087}" presName="rootComposite" presStyleCnt="0"/>
      <dgm:spPr/>
    </dgm:pt>
    <dgm:pt modelId="{2755D37C-B7FF-4C97-9798-D8F8D2E510DC}" type="pres">
      <dgm:prSet presAssocID="{B2444568-1380-4166-8780-CA6D34331087}" presName="rootText" presStyleLbl="node4" presStyleIdx="3" presStyleCnt="37" custScaleY="82645">
        <dgm:presLayoutVars>
          <dgm:chPref val="3"/>
        </dgm:presLayoutVars>
      </dgm:prSet>
      <dgm:spPr/>
    </dgm:pt>
    <dgm:pt modelId="{959850F9-DB57-452F-8431-BEBCD9D846E8}" type="pres">
      <dgm:prSet presAssocID="{B2444568-1380-4166-8780-CA6D34331087}" presName="rootConnector" presStyleLbl="node4" presStyleIdx="3" presStyleCnt="37"/>
      <dgm:spPr/>
    </dgm:pt>
    <dgm:pt modelId="{1A6F1953-7D5C-4F68-A417-0F04519557CD}" type="pres">
      <dgm:prSet presAssocID="{B2444568-1380-4166-8780-CA6D34331087}" presName="hierChild4" presStyleCnt="0"/>
      <dgm:spPr/>
    </dgm:pt>
    <dgm:pt modelId="{362BD53F-48EE-4E89-9895-70AC764E59E9}" type="pres">
      <dgm:prSet presAssocID="{B2444568-1380-4166-8780-CA6D34331087}" presName="hierChild5" presStyleCnt="0"/>
      <dgm:spPr/>
    </dgm:pt>
    <dgm:pt modelId="{C4BDA430-3057-4DBA-A47D-8784D72F271B}" type="pres">
      <dgm:prSet presAssocID="{4BA56DC7-2374-4ACE-A095-007F574E3E39}" presName="Name37" presStyleLbl="parChTrans1D4" presStyleIdx="4" presStyleCnt="37"/>
      <dgm:spPr/>
    </dgm:pt>
    <dgm:pt modelId="{B45FE4F7-F8B9-4A6D-ACB8-ED53B9705C40}" type="pres">
      <dgm:prSet presAssocID="{336FF252-47EF-4A25-B52C-EECD2AF783EE}" presName="hierRoot2" presStyleCnt="0">
        <dgm:presLayoutVars>
          <dgm:hierBranch val="init"/>
        </dgm:presLayoutVars>
      </dgm:prSet>
      <dgm:spPr/>
    </dgm:pt>
    <dgm:pt modelId="{73702044-138C-4271-928D-E67F4602606C}" type="pres">
      <dgm:prSet presAssocID="{336FF252-47EF-4A25-B52C-EECD2AF783EE}" presName="rootComposite" presStyleCnt="0"/>
      <dgm:spPr/>
    </dgm:pt>
    <dgm:pt modelId="{C584BC22-2A6E-46A2-BFDE-24AB80BD956F}" type="pres">
      <dgm:prSet presAssocID="{336FF252-47EF-4A25-B52C-EECD2AF783EE}" presName="rootText" presStyleLbl="node4" presStyleIdx="4" presStyleCnt="37" custScaleY="82645">
        <dgm:presLayoutVars>
          <dgm:chPref val="3"/>
        </dgm:presLayoutVars>
      </dgm:prSet>
      <dgm:spPr/>
    </dgm:pt>
    <dgm:pt modelId="{EF1BEA73-363D-44EE-81B1-26B4D91AF99D}" type="pres">
      <dgm:prSet presAssocID="{336FF252-47EF-4A25-B52C-EECD2AF783EE}" presName="rootConnector" presStyleLbl="node4" presStyleIdx="4" presStyleCnt="37"/>
      <dgm:spPr/>
    </dgm:pt>
    <dgm:pt modelId="{EC685CF4-6B68-4081-A0FB-02D9D897B3F0}" type="pres">
      <dgm:prSet presAssocID="{336FF252-47EF-4A25-B52C-EECD2AF783EE}" presName="hierChild4" presStyleCnt="0"/>
      <dgm:spPr/>
    </dgm:pt>
    <dgm:pt modelId="{B5268637-327A-4F8F-A264-F8BCC4C0318C}" type="pres">
      <dgm:prSet presAssocID="{336FF252-47EF-4A25-B52C-EECD2AF783EE}" presName="hierChild5" presStyleCnt="0"/>
      <dgm:spPr/>
    </dgm:pt>
    <dgm:pt modelId="{F2EB8D95-A557-4B52-96DC-E79DEE05A683}" type="pres">
      <dgm:prSet presAssocID="{53857D96-BB93-4331-AB98-979E5BC95AF3}" presName="Name37" presStyleLbl="parChTrans1D4" presStyleIdx="5" presStyleCnt="37"/>
      <dgm:spPr/>
    </dgm:pt>
    <dgm:pt modelId="{5983B155-BE34-48EF-8B6C-B8F23D12DEA3}" type="pres">
      <dgm:prSet presAssocID="{6252BBB8-3B4F-43A2-A776-FBBB3F2F6AAA}" presName="hierRoot2" presStyleCnt="0">
        <dgm:presLayoutVars>
          <dgm:hierBranch val="init"/>
        </dgm:presLayoutVars>
      </dgm:prSet>
      <dgm:spPr/>
    </dgm:pt>
    <dgm:pt modelId="{5696C772-7B0F-447B-B267-44056D6A5114}" type="pres">
      <dgm:prSet presAssocID="{6252BBB8-3B4F-43A2-A776-FBBB3F2F6AAA}" presName="rootComposite" presStyleCnt="0"/>
      <dgm:spPr/>
    </dgm:pt>
    <dgm:pt modelId="{9DA47146-C909-4CF2-AD7F-A76611B94CB5}" type="pres">
      <dgm:prSet presAssocID="{6252BBB8-3B4F-43A2-A776-FBBB3F2F6AAA}" presName="rootText" presStyleLbl="node4" presStyleIdx="5" presStyleCnt="37" custScaleY="82645">
        <dgm:presLayoutVars>
          <dgm:chPref val="3"/>
        </dgm:presLayoutVars>
      </dgm:prSet>
      <dgm:spPr/>
    </dgm:pt>
    <dgm:pt modelId="{5BF8BDAD-77A9-45B8-8780-773F299C0C70}" type="pres">
      <dgm:prSet presAssocID="{6252BBB8-3B4F-43A2-A776-FBBB3F2F6AAA}" presName="rootConnector" presStyleLbl="node4" presStyleIdx="5" presStyleCnt="37"/>
      <dgm:spPr/>
    </dgm:pt>
    <dgm:pt modelId="{0863D0CB-EE40-4FBC-B9E9-7C713659A9BA}" type="pres">
      <dgm:prSet presAssocID="{6252BBB8-3B4F-43A2-A776-FBBB3F2F6AAA}" presName="hierChild4" presStyleCnt="0"/>
      <dgm:spPr/>
    </dgm:pt>
    <dgm:pt modelId="{D03C12DD-FDBC-4CC5-98BC-62B0FABB7253}" type="pres">
      <dgm:prSet presAssocID="{6252BBB8-3B4F-43A2-A776-FBBB3F2F6AAA}" presName="hierChild5" presStyleCnt="0"/>
      <dgm:spPr/>
    </dgm:pt>
    <dgm:pt modelId="{C78C2861-467D-4CB9-B394-B5BC7A017A6B}" type="pres">
      <dgm:prSet presAssocID="{A7878F06-5877-4A04-8C37-B9CE462940DA}" presName="hierChild5" presStyleCnt="0"/>
      <dgm:spPr/>
    </dgm:pt>
    <dgm:pt modelId="{D917566D-6505-4236-8F4D-2773908C664B}" type="pres">
      <dgm:prSet presAssocID="{0384E339-1ACD-4BC4-AD09-A8CA51DE7DC7}" presName="Name37" presStyleLbl="parChTrans1D3" presStyleIdx="1" presStyleCnt="8"/>
      <dgm:spPr/>
    </dgm:pt>
    <dgm:pt modelId="{E41F0DF3-E683-47B4-B748-4DAC31243CA2}" type="pres">
      <dgm:prSet presAssocID="{2A8E8F01-53D7-4466-ADD2-2D3E140F6BA1}" presName="hierRoot2" presStyleCnt="0">
        <dgm:presLayoutVars>
          <dgm:hierBranch val="init"/>
        </dgm:presLayoutVars>
      </dgm:prSet>
      <dgm:spPr/>
    </dgm:pt>
    <dgm:pt modelId="{EA08220D-871F-414D-92AA-215DEFC5909E}" type="pres">
      <dgm:prSet presAssocID="{2A8E8F01-53D7-4466-ADD2-2D3E140F6BA1}" presName="rootComposite" presStyleCnt="0"/>
      <dgm:spPr/>
    </dgm:pt>
    <dgm:pt modelId="{AB1456F4-F0FF-4329-AD15-9DBB7268995A}" type="pres">
      <dgm:prSet presAssocID="{2A8E8F01-53D7-4466-ADD2-2D3E140F6BA1}" presName="rootText" presStyleLbl="node3" presStyleIdx="1" presStyleCnt="8" custScaleY="82645">
        <dgm:presLayoutVars>
          <dgm:chPref val="3"/>
        </dgm:presLayoutVars>
      </dgm:prSet>
      <dgm:spPr/>
    </dgm:pt>
    <dgm:pt modelId="{973D71D4-0B12-4409-BD0C-9424BD6EB666}" type="pres">
      <dgm:prSet presAssocID="{2A8E8F01-53D7-4466-ADD2-2D3E140F6BA1}" presName="rootConnector" presStyleLbl="node3" presStyleIdx="1" presStyleCnt="8"/>
      <dgm:spPr/>
    </dgm:pt>
    <dgm:pt modelId="{DD0C9D8A-D15A-4037-A04B-B0578287762D}" type="pres">
      <dgm:prSet presAssocID="{2A8E8F01-53D7-4466-ADD2-2D3E140F6BA1}" presName="hierChild4" presStyleCnt="0"/>
      <dgm:spPr/>
    </dgm:pt>
    <dgm:pt modelId="{B6311F4C-13F6-4F71-8297-F13364EEF3B9}" type="pres">
      <dgm:prSet presAssocID="{3DE97EB0-E245-4C18-9660-E902E4639B51}" presName="Name37" presStyleLbl="parChTrans1D4" presStyleIdx="6" presStyleCnt="37"/>
      <dgm:spPr/>
    </dgm:pt>
    <dgm:pt modelId="{3F576BAC-92B5-4DF4-8CA6-47B6203A564E}" type="pres">
      <dgm:prSet presAssocID="{60765FD2-5ACA-4427-8ADC-0C3FC86ED222}" presName="hierRoot2" presStyleCnt="0">
        <dgm:presLayoutVars>
          <dgm:hierBranch val="init"/>
        </dgm:presLayoutVars>
      </dgm:prSet>
      <dgm:spPr/>
    </dgm:pt>
    <dgm:pt modelId="{98BBF901-91B1-4C7D-A3FF-AB6FF9D312B7}" type="pres">
      <dgm:prSet presAssocID="{60765FD2-5ACA-4427-8ADC-0C3FC86ED222}" presName="rootComposite" presStyleCnt="0"/>
      <dgm:spPr/>
    </dgm:pt>
    <dgm:pt modelId="{8345D5FE-94D5-4ECA-99E6-2E4449DC005D}" type="pres">
      <dgm:prSet presAssocID="{60765FD2-5ACA-4427-8ADC-0C3FC86ED222}" presName="rootText" presStyleLbl="node4" presStyleIdx="6" presStyleCnt="37" custScaleY="82645">
        <dgm:presLayoutVars>
          <dgm:chPref val="3"/>
        </dgm:presLayoutVars>
      </dgm:prSet>
      <dgm:spPr/>
    </dgm:pt>
    <dgm:pt modelId="{DD7D2C6A-C8DF-42BA-8790-AEAC5EC2DEF7}" type="pres">
      <dgm:prSet presAssocID="{60765FD2-5ACA-4427-8ADC-0C3FC86ED222}" presName="rootConnector" presStyleLbl="node4" presStyleIdx="6" presStyleCnt="37"/>
      <dgm:spPr/>
    </dgm:pt>
    <dgm:pt modelId="{0735E5A8-4EC1-45FD-814C-C48A8195A592}" type="pres">
      <dgm:prSet presAssocID="{60765FD2-5ACA-4427-8ADC-0C3FC86ED222}" presName="hierChild4" presStyleCnt="0"/>
      <dgm:spPr/>
    </dgm:pt>
    <dgm:pt modelId="{EC172075-06D9-4272-8BF3-129529E9A638}" type="pres">
      <dgm:prSet presAssocID="{60765FD2-5ACA-4427-8ADC-0C3FC86ED222}" presName="hierChild5" presStyleCnt="0"/>
      <dgm:spPr/>
    </dgm:pt>
    <dgm:pt modelId="{0360C749-D478-42E0-AE61-44CFD142BD07}" type="pres">
      <dgm:prSet presAssocID="{1DAB7846-2B48-4259-9592-16E8D0923BE2}" presName="Name37" presStyleLbl="parChTrans1D4" presStyleIdx="7" presStyleCnt="37"/>
      <dgm:spPr/>
    </dgm:pt>
    <dgm:pt modelId="{4423D9F1-CD0E-4DFA-8CFC-50637684D822}" type="pres">
      <dgm:prSet presAssocID="{E7CCBC15-826E-456A-B23F-2244AA78CFCA}" presName="hierRoot2" presStyleCnt="0">
        <dgm:presLayoutVars>
          <dgm:hierBranch val="init"/>
        </dgm:presLayoutVars>
      </dgm:prSet>
      <dgm:spPr/>
    </dgm:pt>
    <dgm:pt modelId="{BCC0704A-F913-4CA5-BF78-B1E70508C2D2}" type="pres">
      <dgm:prSet presAssocID="{E7CCBC15-826E-456A-B23F-2244AA78CFCA}" presName="rootComposite" presStyleCnt="0"/>
      <dgm:spPr/>
    </dgm:pt>
    <dgm:pt modelId="{25473F50-7207-4EDC-84EF-7A6794CF77A6}" type="pres">
      <dgm:prSet presAssocID="{E7CCBC15-826E-456A-B23F-2244AA78CFCA}" presName="rootText" presStyleLbl="node4" presStyleIdx="7" presStyleCnt="37" custScaleY="82645">
        <dgm:presLayoutVars>
          <dgm:chPref val="3"/>
        </dgm:presLayoutVars>
      </dgm:prSet>
      <dgm:spPr/>
    </dgm:pt>
    <dgm:pt modelId="{F767F0FF-2D56-4A01-91F2-9DDFB0569C98}" type="pres">
      <dgm:prSet presAssocID="{E7CCBC15-826E-456A-B23F-2244AA78CFCA}" presName="rootConnector" presStyleLbl="node4" presStyleIdx="7" presStyleCnt="37"/>
      <dgm:spPr/>
    </dgm:pt>
    <dgm:pt modelId="{56865AF4-4491-4D63-A270-073D0F2FEF51}" type="pres">
      <dgm:prSet presAssocID="{E7CCBC15-826E-456A-B23F-2244AA78CFCA}" presName="hierChild4" presStyleCnt="0"/>
      <dgm:spPr/>
    </dgm:pt>
    <dgm:pt modelId="{67386C21-E025-4FC5-8507-83B844520AAD}" type="pres">
      <dgm:prSet presAssocID="{E7CCBC15-826E-456A-B23F-2244AA78CFCA}" presName="hierChild5" presStyleCnt="0"/>
      <dgm:spPr/>
    </dgm:pt>
    <dgm:pt modelId="{DCDBD4CF-C1EA-4B1A-88B3-39C90DFFD05D}" type="pres">
      <dgm:prSet presAssocID="{849E17B0-E492-4847-A6D7-3A0680ECC2AB}" presName="Name37" presStyleLbl="parChTrans1D4" presStyleIdx="8" presStyleCnt="37"/>
      <dgm:spPr/>
    </dgm:pt>
    <dgm:pt modelId="{7CB3434E-D893-4FE9-878C-FE5AACDBCE76}" type="pres">
      <dgm:prSet presAssocID="{B7A6ACAB-50D6-4E51-A191-88EB499C56B4}" presName="hierRoot2" presStyleCnt="0">
        <dgm:presLayoutVars>
          <dgm:hierBranch val="init"/>
        </dgm:presLayoutVars>
      </dgm:prSet>
      <dgm:spPr/>
    </dgm:pt>
    <dgm:pt modelId="{DF2EEC48-78B3-44DC-88E0-EC2A1ED26BB9}" type="pres">
      <dgm:prSet presAssocID="{B7A6ACAB-50D6-4E51-A191-88EB499C56B4}" presName="rootComposite" presStyleCnt="0"/>
      <dgm:spPr/>
    </dgm:pt>
    <dgm:pt modelId="{3C1E987B-0A7A-4FA0-88E9-F3C910D64BB8}" type="pres">
      <dgm:prSet presAssocID="{B7A6ACAB-50D6-4E51-A191-88EB499C56B4}" presName="rootText" presStyleLbl="node4" presStyleIdx="8" presStyleCnt="37" custScaleY="82645">
        <dgm:presLayoutVars>
          <dgm:chPref val="3"/>
        </dgm:presLayoutVars>
      </dgm:prSet>
      <dgm:spPr/>
    </dgm:pt>
    <dgm:pt modelId="{77C91999-6B3B-4531-B906-0939A4B2A06E}" type="pres">
      <dgm:prSet presAssocID="{B7A6ACAB-50D6-4E51-A191-88EB499C56B4}" presName="rootConnector" presStyleLbl="node4" presStyleIdx="8" presStyleCnt="37"/>
      <dgm:spPr/>
    </dgm:pt>
    <dgm:pt modelId="{41F5E7D8-F6AF-4721-B519-24C57FFAFED9}" type="pres">
      <dgm:prSet presAssocID="{B7A6ACAB-50D6-4E51-A191-88EB499C56B4}" presName="hierChild4" presStyleCnt="0"/>
      <dgm:spPr/>
    </dgm:pt>
    <dgm:pt modelId="{C1FF56CC-74BE-4806-99D4-7BA217613DFD}" type="pres">
      <dgm:prSet presAssocID="{B7A6ACAB-50D6-4E51-A191-88EB499C56B4}" presName="hierChild5" presStyleCnt="0"/>
      <dgm:spPr/>
    </dgm:pt>
    <dgm:pt modelId="{098DB473-CC45-4119-A431-525EE4D7DFFC}" type="pres">
      <dgm:prSet presAssocID="{A84E7AB2-1F3E-4248-94FD-949B677B44A5}" presName="Name37" presStyleLbl="parChTrans1D4" presStyleIdx="9" presStyleCnt="37"/>
      <dgm:spPr/>
    </dgm:pt>
    <dgm:pt modelId="{493FAE3D-A3DA-44A9-A9B5-8B04DDFBFF44}" type="pres">
      <dgm:prSet presAssocID="{A312208C-D839-45A5-9CB2-413BC2229699}" presName="hierRoot2" presStyleCnt="0">
        <dgm:presLayoutVars>
          <dgm:hierBranch val="init"/>
        </dgm:presLayoutVars>
      </dgm:prSet>
      <dgm:spPr/>
    </dgm:pt>
    <dgm:pt modelId="{E312142A-61E2-471F-A21B-0885D360D630}" type="pres">
      <dgm:prSet presAssocID="{A312208C-D839-45A5-9CB2-413BC2229699}" presName="rootComposite" presStyleCnt="0"/>
      <dgm:spPr/>
    </dgm:pt>
    <dgm:pt modelId="{4B8FAE12-19D4-4C4E-862B-4CCDE031A62C}" type="pres">
      <dgm:prSet presAssocID="{A312208C-D839-45A5-9CB2-413BC2229699}" presName="rootText" presStyleLbl="node4" presStyleIdx="9" presStyleCnt="37" custScaleY="82645">
        <dgm:presLayoutVars>
          <dgm:chPref val="3"/>
        </dgm:presLayoutVars>
      </dgm:prSet>
      <dgm:spPr/>
    </dgm:pt>
    <dgm:pt modelId="{0C897CE4-C8C6-44F3-9855-6EFC273BFD9B}" type="pres">
      <dgm:prSet presAssocID="{A312208C-D839-45A5-9CB2-413BC2229699}" presName="rootConnector" presStyleLbl="node4" presStyleIdx="9" presStyleCnt="37"/>
      <dgm:spPr/>
    </dgm:pt>
    <dgm:pt modelId="{B82DE0E6-EDFA-40BB-9937-660BB40C5893}" type="pres">
      <dgm:prSet presAssocID="{A312208C-D839-45A5-9CB2-413BC2229699}" presName="hierChild4" presStyleCnt="0"/>
      <dgm:spPr/>
    </dgm:pt>
    <dgm:pt modelId="{D4316EBB-0A3B-47B2-9420-B86B06E5C47C}" type="pres">
      <dgm:prSet presAssocID="{A312208C-D839-45A5-9CB2-413BC2229699}" presName="hierChild5" presStyleCnt="0"/>
      <dgm:spPr/>
    </dgm:pt>
    <dgm:pt modelId="{5659D8AD-0CAC-49B7-B222-D78A2A8FD2F6}" type="pres">
      <dgm:prSet presAssocID="{2A8E8F01-53D7-4466-ADD2-2D3E140F6BA1}" presName="hierChild5" presStyleCnt="0"/>
      <dgm:spPr/>
    </dgm:pt>
    <dgm:pt modelId="{90F2F394-C6B7-4E2B-B578-EC843121D870}" type="pres">
      <dgm:prSet presAssocID="{30BC17A7-6714-4179-8197-76256FD65BD0}" presName="Name37" presStyleLbl="parChTrans1D3" presStyleIdx="2" presStyleCnt="8"/>
      <dgm:spPr/>
    </dgm:pt>
    <dgm:pt modelId="{2E158438-6755-4AC9-A109-AA8A1AA54078}" type="pres">
      <dgm:prSet presAssocID="{D748E4A4-276A-49B0-A971-36DE50F67E10}" presName="hierRoot2" presStyleCnt="0">
        <dgm:presLayoutVars>
          <dgm:hierBranch val="init"/>
        </dgm:presLayoutVars>
      </dgm:prSet>
      <dgm:spPr/>
    </dgm:pt>
    <dgm:pt modelId="{FF625A00-6860-40CC-92E6-69389DDE9DD9}" type="pres">
      <dgm:prSet presAssocID="{D748E4A4-276A-49B0-A971-36DE50F67E10}" presName="rootComposite" presStyleCnt="0"/>
      <dgm:spPr/>
    </dgm:pt>
    <dgm:pt modelId="{8F47ADB1-00FA-4A31-B539-EEF38657D0C1}" type="pres">
      <dgm:prSet presAssocID="{D748E4A4-276A-49B0-A971-36DE50F67E10}" presName="rootText" presStyleLbl="node3" presStyleIdx="2" presStyleCnt="8" custScaleY="82645">
        <dgm:presLayoutVars>
          <dgm:chPref val="3"/>
        </dgm:presLayoutVars>
      </dgm:prSet>
      <dgm:spPr/>
    </dgm:pt>
    <dgm:pt modelId="{70B28074-65EB-4E80-80F2-ED870366EAA1}" type="pres">
      <dgm:prSet presAssocID="{D748E4A4-276A-49B0-A971-36DE50F67E10}" presName="rootConnector" presStyleLbl="node3" presStyleIdx="2" presStyleCnt="8"/>
      <dgm:spPr/>
    </dgm:pt>
    <dgm:pt modelId="{892B9CC2-1D60-496A-A1D6-1A84720CB10A}" type="pres">
      <dgm:prSet presAssocID="{D748E4A4-276A-49B0-A971-36DE50F67E10}" presName="hierChild4" presStyleCnt="0"/>
      <dgm:spPr/>
    </dgm:pt>
    <dgm:pt modelId="{79F6C693-ECFD-4066-8F75-2F17B9E8547C}" type="pres">
      <dgm:prSet presAssocID="{E810BA95-A49D-472D-8283-C9E5E9E072C8}" presName="Name37" presStyleLbl="parChTrans1D4" presStyleIdx="10" presStyleCnt="37"/>
      <dgm:spPr/>
    </dgm:pt>
    <dgm:pt modelId="{5BA7D9BC-8EF5-4DF4-96D0-DEC8EC20259B}" type="pres">
      <dgm:prSet presAssocID="{D2ECD54F-54D4-4681-8029-23E2EDD8358D}" presName="hierRoot2" presStyleCnt="0">
        <dgm:presLayoutVars>
          <dgm:hierBranch val="init"/>
        </dgm:presLayoutVars>
      </dgm:prSet>
      <dgm:spPr/>
    </dgm:pt>
    <dgm:pt modelId="{E45D38FF-3999-4199-B7A8-25377B7B2071}" type="pres">
      <dgm:prSet presAssocID="{D2ECD54F-54D4-4681-8029-23E2EDD8358D}" presName="rootComposite" presStyleCnt="0"/>
      <dgm:spPr/>
    </dgm:pt>
    <dgm:pt modelId="{AD0CE90D-3811-4C4A-AA8C-FF8EDFC59D2A}" type="pres">
      <dgm:prSet presAssocID="{D2ECD54F-54D4-4681-8029-23E2EDD8358D}" presName="rootText" presStyleLbl="node4" presStyleIdx="10" presStyleCnt="37" custScaleY="82645">
        <dgm:presLayoutVars>
          <dgm:chPref val="3"/>
        </dgm:presLayoutVars>
      </dgm:prSet>
      <dgm:spPr/>
    </dgm:pt>
    <dgm:pt modelId="{0A5B7267-27C9-47C0-BE2C-B1F733517DBD}" type="pres">
      <dgm:prSet presAssocID="{D2ECD54F-54D4-4681-8029-23E2EDD8358D}" presName="rootConnector" presStyleLbl="node4" presStyleIdx="10" presStyleCnt="37"/>
      <dgm:spPr/>
    </dgm:pt>
    <dgm:pt modelId="{6A691CB6-CF10-4609-A35D-A802BC7EA2A2}" type="pres">
      <dgm:prSet presAssocID="{D2ECD54F-54D4-4681-8029-23E2EDD8358D}" presName="hierChild4" presStyleCnt="0"/>
      <dgm:spPr/>
    </dgm:pt>
    <dgm:pt modelId="{A131F5ED-63A5-4BF6-90F4-1F85EDC2FAF6}" type="pres">
      <dgm:prSet presAssocID="{D2ECD54F-54D4-4681-8029-23E2EDD8358D}" presName="hierChild5" presStyleCnt="0"/>
      <dgm:spPr/>
    </dgm:pt>
    <dgm:pt modelId="{199EE967-76A6-4726-A2F7-A00CB2A94FE6}" type="pres">
      <dgm:prSet presAssocID="{6749D2E4-45B8-4EB7-BE0A-C54E27589149}" presName="Name37" presStyleLbl="parChTrans1D4" presStyleIdx="11" presStyleCnt="37"/>
      <dgm:spPr/>
    </dgm:pt>
    <dgm:pt modelId="{448D835B-A874-46FE-BDE4-3C89933D8731}" type="pres">
      <dgm:prSet presAssocID="{B57D9A7B-4976-4B9D-8894-30B5C68DDDE4}" presName="hierRoot2" presStyleCnt="0">
        <dgm:presLayoutVars>
          <dgm:hierBranch val="init"/>
        </dgm:presLayoutVars>
      </dgm:prSet>
      <dgm:spPr/>
    </dgm:pt>
    <dgm:pt modelId="{5253752E-4B77-486E-A982-46F77898BFEF}" type="pres">
      <dgm:prSet presAssocID="{B57D9A7B-4976-4B9D-8894-30B5C68DDDE4}" presName="rootComposite" presStyleCnt="0"/>
      <dgm:spPr/>
    </dgm:pt>
    <dgm:pt modelId="{8C29E694-4982-42F4-BF89-D86DD6716899}" type="pres">
      <dgm:prSet presAssocID="{B57D9A7B-4976-4B9D-8894-30B5C68DDDE4}" presName="rootText" presStyleLbl="node4" presStyleIdx="11" presStyleCnt="37" custScaleY="82645">
        <dgm:presLayoutVars>
          <dgm:chPref val="3"/>
        </dgm:presLayoutVars>
      </dgm:prSet>
      <dgm:spPr/>
    </dgm:pt>
    <dgm:pt modelId="{4328C16C-D82E-48A3-AD92-FA3033C469E3}" type="pres">
      <dgm:prSet presAssocID="{B57D9A7B-4976-4B9D-8894-30B5C68DDDE4}" presName="rootConnector" presStyleLbl="node4" presStyleIdx="11" presStyleCnt="37"/>
      <dgm:spPr/>
    </dgm:pt>
    <dgm:pt modelId="{125200A6-43B4-4720-9896-15C9C01D9AE3}" type="pres">
      <dgm:prSet presAssocID="{B57D9A7B-4976-4B9D-8894-30B5C68DDDE4}" presName="hierChild4" presStyleCnt="0"/>
      <dgm:spPr/>
    </dgm:pt>
    <dgm:pt modelId="{3461A7CB-76C2-41BC-B9D3-E0977C04C773}" type="pres">
      <dgm:prSet presAssocID="{B57D9A7B-4976-4B9D-8894-30B5C68DDDE4}" presName="hierChild5" presStyleCnt="0"/>
      <dgm:spPr/>
    </dgm:pt>
    <dgm:pt modelId="{F1D409E8-50FF-4C7B-BC90-7D86CBD5AE53}" type="pres">
      <dgm:prSet presAssocID="{3713E91C-68D1-445C-82D0-A9D217B905E3}" presName="Name37" presStyleLbl="parChTrans1D4" presStyleIdx="12" presStyleCnt="37"/>
      <dgm:spPr/>
    </dgm:pt>
    <dgm:pt modelId="{B287B508-AA77-4FB6-A8D7-F14CC174C600}" type="pres">
      <dgm:prSet presAssocID="{9D9A8D77-30E2-4188-91DA-23298310B5D7}" presName="hierRoot2" presStyleCnt="0">
        <dgm:presLayoutVars>
          <dgm:hierBranch val="init"/>
        </dgm:presLayoutVars>
      </dgm:prSet>
      <dgm:spPr/>
    </dgm:pt>
    <dgm:pt modelId="{A0C0CAAB-82D6-4046-B101-730554DF8F9D}" type="pres">
      <dgm:prSet presAssocID="{9D9A8D77-30E2-4188-91DA-23298310B5D7}" presName="rootComposite" presStyleCnt="0"/>
      <dgm:spPr/>
    </dgm:pt>
    <dgm:pt modelId="{7388EE8E-E9D6-4383-88F5-CC6E1CD6D8D3}" type="pres">
      <dgm:prSet presAssocID="{9D9A8D77-30E2-4188-91DA-23298310B5D7}" presName="rootText" presStyleLbl="node4" presStyleIdx="12" presStyleCnt="37" custScaleY="82645">
        <dgm:presLayoutVars>
          <dgm:chPref val="3"/>
        </dgm:presLayoutVars>
      </dgm:prSet>
      <dgm:spPr/>
    </dgm:pt>
    <dgm:pt modelId="{1A6B1E92-BAC0-4F4B-933B-5174B68264CD}" type="pres">
      <dgm:prSet presAssocID="{9D9A8D77-30E2-4188-91DA-23298310B5D7}" presName="rootConnector" presStyleLbl="node4" presStyleIdx="12" presStyleCnt="37"/>
      <dgm:spPr/>
    </dgm:pt>
    <dgm:pt modelId="{5BC3A5E8-320F-42B9-A4B7-77C45E8E15D3}" type="pres">
      <dgm:prSet presAssocID="{9D9A8D77-30E2-4188-91DA-23298310B5D7}" presName="hierChild4" presStyleCnt="0"/>
      <dgm:spPr/>
    </dgm:pt>
    <dgm:pt modelId="{0141BD36-11B0-44FB-9D50-5BA1AF2A44CD}" type="pres">
      <dgm:prSet presAssocID="{9D9A8D77-30E2-4188-91DA-23298310B5D7}" presName="hierChild5" presStyleCnt="0"/>
      <dgm:spPr/>
    </dgm:pt>
    <dgm:pt modelId="{C7E34854-558F-47F6-BF4B-0A9A6BFCA3DC}" type="pres">
      <dgm:prSet presAssocID="{D748E4A4-276A-49B0-A971-36DE50F67E10}" presName="hierChild5" presStyleCnt="0"/>
      <dgm:spPr/>
    </dgm:pt>
    <dgm:pt modelId="{E680F636-4031-4A28-9DA5-B69E39F1976C}" type="pres">
      <dgm:prSet presAssocID="{05A575D2-1F37-4E08-BF0F-0C646350D782}" presName="Name37" presStyleLbl="parChTrans1D3" presStyleIdx="3" presStyleCnt="8"/>
      <dgm:spPr/>
    </dgm:pt>
    <dgm:pt modelId="{3A789077-BACE-4D4B-B3C1-DF4E2646AD78}" type="pres">
      <dgm:prSet presAssocID="{7C51B67D-3EC3-45F3-A058-5097FF033899}" presName="hierRoot2" presStyleCnt="0">
        <dgm:presLayoutVars>
          <dgm:hierBranch val="init"/>
        </dgm:presLayoutVars>
      </dgm:prSet>
      <dgm:spPr/>
    </dgm:pt>
    <dgm:pt modelId="{7FDA5371-E833-4501-BE55-414299D16C6E}" type="pres">
      <dgm:prSet presAssocID="{7C51B67D-3EC3-45F3-A058-5097FF033899}" presName="rootComposite" presStyleCnt="0"/>
      <dgm:spPr/>
    </dgm:pt>
    <dgm:pt modelId="{D08B1808-4605-44EE-AC96-26FD2C104552}" type="pres">
      <dgm:prSet presAssocID="{7C51B67D-3EC3-45F3-A058-5097FF033899}" presName="rootText" presStyleLbl="node3" presStyleIdx="3" presStyleCnt="8" custScaleY="82645">
        <dgm:presLayoutVars>
          <dgm:chPref val="3"/>
        </dgm:presLayoutVars>
      </dgm:prSet>
      <dgm:spPr/>
    </dgm:pt>
    <dgm:pt modelId="{E82F516F-1CDB-4469-9EDC-6F99AC26BA60}" type="pres">
      <dgm:prSet presAssocID="{7C51B67D-3EC3-45F3-A058-5097FF033899}" presName="rootConnector" presStyleLbl="node3" presStyleIdx="3" presStyleCnt="8"/>
      <dgm:spPr/>
    </dgm:pt>
    <dgm:pt modelId="{D580CC93-613D-48F4-A8D8-54FF855909AA}" type="pres">
      <dgm:prSet presAssocID="{7C51B67D-3EC3-45F3-A058-5097FF033899}" presName="hierChild4" presStyleCnt="0"/>
      <dgm:spPr/>
    </dgm:pt>
    <dgm:pt modelId="{1B7D88EF-6DF5-476E-A80A-7A6427BB5766}" type="pres">
      <dgm:prSet presAssocID="{2DF1B5A3-DB16-4E9B-8DED-ECA1D1E9DCB6}" presName="Name37" presStyleLbl="parChTrans1D4" presStyleIdx="13" presStyleCnt="37"/>
      <dgm:spPr/>
    </dgm:pt>
    <dgm:pt modelId="{5BBB94EA-3D19-4EAF-BB6C-4F82369C5C36}" type="pres">
      <dgm:prSet presAssocID="{5B3705C8-4447-459F-8152-B38235050BF8}" presName="hierRoot2" presStyleCnt="0">
        <dgm:presLayoutVars>
          <dgm:hierBranch val="init"/>
        </dgm:presLayoutVars>
      </dgm:prSet>
      <dgm:spPr/>
    </dgm:pt>
    <dgm:pt modelId="{B97F3AF9-D2A7-4E62-BF15-F48D7948FB24}" type="pres">
      <dgm:prSet presAssocID="{5B3705C8-4447-459F-8152-B38235050BF8}" presName="rootComposite" presStyleCnt="0"/>
      <dgm:spPr/>
    </dgm:pt>
    <dgm:pt modelId="{565668DF-700F-4C21-BFE1-61679F60C467}" type="pres">
      <dgm:prSet presAssocID="{5B3705C8-4447-459F-8152-B38235050BF8}" presName="rootText" presStyleLbl="node4" presStyleIdx="13" presStyleCnt="37" custScaleY="82645">
        <dgm:presLayoutVars>
          <dgm:chPref val="3"/>
        </dgm:presLayoutVars>
      </dgm:prSet>
      <dgm:spPr/>
    </dgm:pt>
    <dgm:pt modelId="{4F24D2CA-ABF8-4074-90F1-D971C6D06586}" type="pres">
      <dgm:prSet presAssocID="{5B3705C8-4447-459F-8152-B38235050BF8}" presName="rootConnector" presStyleLbl="node4" presStyleIdx="13" presStyleCnt="37"/>
      <dgm:spPr/>
    </dgm:pt>
    <dgm:pt modelId="{A181308A-7A32-4323-A5CF-83CECFFE6496}" type="pres">
      <dgm:prSet presAssocID="{5B3705C8-4447-459F-8152-B38235050BF8}" presName="hierChild4" presStyleCnt="0"/>
      <dgm:spPr/>
    </dgm:pt>
    <dgm:pt modelId="{673182FF-41D4-40F1-9DBE-C3D7CD7A0D65}" type="pres">
      <dgm:prSet presAssocID="{5B3705C8-4447-459F-8152-B38235050BF8}" presName="hierChild5" presStyleCnt="0"/>
      <dgm:spPr/>
    </dgm:pt>
    <dgm:pt modelId="{5662163E-86C0-4D8C-BB0D-F09FD90504F1}" type="pres">
      <dgm:prSet presAssocID="{EC738665-2EDD-40D1-B598-35303CE27844}" presName="Name37" presStyleLbl="parChTrans1D4" presStyleIdx="14" presStyleCnt="37"/>
      <dgm:spPr/>
    </dgm:pt>
    <dgm:pt modelId="{5F8FFAA9-C08D-4EEA-A222-4DB4F98F8532}" type="pres">
      <dgm:prSet presAssocID="{6281E577-4DA2-49FC-A3F8-F3A4DFDF907C}" presName="hierRoot2" presStyleCnt="0">
        <dgm:presLayoutVars>
          <dgm:hierBranch val="init"/>
        </dgm:presLayoutVars>
      </dgm:prSet>
      <dgm:spPr/>
    </dgm:pt>
    <dgm:pt modelId="{37993555-D5EB-40F5-90C7-1999E38C3C81}" type="pres">
      <dgm:prSet presAssocID="{6281E577-4DA2-49FC-A3F8-F3A4DFDF907C}" presName="rootComposite" presStyleCnt="0"/>
      <dgm:spPr/>
    </dgm:pt>
    <dgm:pt modelId="{D2CD276E-EB36-4AD9-92D7-191ABB2939D2}" type="pres">
      <dgm:prSet presAssocID="{6281E577-4DA2-49FC-A3F8-F3A4DFDF907C}" presName="rootText" presStyleLbl="node4" presStyleIdx="14" presStyleCnt="37" custScaleY="82645">
        <dgm:presLayoutVars>
          <dgm:chPref val="3"/>
        </dgm:presLayoutVars>
      </dgm:prSet>
      <dgm:spPr/>
    </dgm:pt>
    <dgm:pt modelId="{F3D70145-025A-4356-BF43-46E45FB2A3A7}" type="pres">
      <dgm:prSet presAssocID="{6281E577-4DA2-49FC-A3F8-F3A4DFDF907C}" presName="rootConnector" presStyleLbl="node4" presStyleIdx="14" presStyleCnt="37"/>
      <dgm:spPr/>
    </dgm:pt>
    <dgm:pt modelId="{C6EC2741-22F6-487D-B367-E130888D723A}" type="pres">
      <dgm:prSet presAssocID="{6281E577-4DA2-49FC-A3F8-F3A4DFDF907C}" presName="hierChild4" presStyleCnt="0"/>
      <dgm:spPr/>
    </dgm:pt>
    <dgm:pt modelId="{28D9470F-523C-4DF2-AD5E-22EFC5A34B51}" type="pres">
      <dgm:prSet presAssocID="{6281E577-4DA2-49FC-A3F8-F3A4DFDF907C}" presName="hierChild5" presStyleCnt="0"/>
      <dgm:spPr/>
    </dgm:pt>
    <dgm:pt modelId="{8EBDDFD3-45F6-47F9-BD48-49DFF5F4A9D9}" type="pres">
      <dgm:prSet presAssocID="{C3F73760-FC6F-45A7-9CF9-94C30BE535F8}" presName="Name37" presStyleLbl="parChTrans1D4" presStyleIdx="15" presStyleCnt="37"/>
      <dgm:spPr/>
    </dgm:pt>
    <dgm:pt modelId="{C23190CC-D567-4DBD-9E98-6D26F6B0D889}" type="pres">
      <dgm:prSet presAssocID="{B3645FE4-99EB-49CA-888A-7F89D3A734A9}" presName="hierRoot2" presStyleCnt="0">
        <dgm:presLayoutVars>
          <dgm:hierBranch val="init"/>
        </dgm:presLayoutVars>
      </dgm:prSet>
      <dgm:spPr/>
    </dgm:pt>
    <dgm:pt modelId="{C03E5361-6B3D-4620-BCEC-BB0FB362CCB2}" type="pres">
      <dgm:prSet presAssocID="{B3645FE4-99EB-49CA-888A-7F89D3A734A9}" presName="rootComposite" presStyleCnt="0"/>
      <dgm:spPr/>
    </dgm:pt>
    <dgm:pt modelId="{570867D6-0A65-4BEF-BA4D-404495EF0934}" type="pres">
      <dgm:prSet presAssocID="{B3645FE4-99EB-49CA-888A-7F89D3A734A9}" presName="rootText" presStyleLbl="node4" presStyleIdx="15" presStyleCnt="37" custScaleY="82645">
        <dgm:presLayoutVars>
          <dgm:chPref val="3"/>
        </dgm:presLayoutVars>
      </dgm:prSet>
      <dgm:spPr/>
    </dgm:pt>
    <dgm:pt modelId="{B40DCBC3-4826-4131-A821-066665B46164}" type="pres">
      <dgm:prSet presAssocID="{B3645FE4-99EB-49CA-888A-7F89D3A734A9}" presName="rootConnector" presStyleLbl="node4" presStyleIdx="15" presStyleCnt="37"/>
      <dgm:spPr/>
    </dgm:pt>
    <dgm:pt modelId="{B8B9AC9B-D028-46D4-9D06-D004D6CF75E1}" type="pres">
      <dgm:prSet presAssocID="{B3645FE4-99EB-49CA-888A-7F89D3A734A9}" presName="hierChild4" presStyleCnt="0"/>
      <dgm:spPr/>
    </dgm:pt>
    <dgm:pt modelId="{EDB34DE4-D9FB-482F-A774-7E177B2C4B48}" type="pres">
      <dgm:prSet presAssocID="{B3645FE4-99EB-49CA-888A-7F89D3A734A9}" presName="hierChild5" presStyleCnt="0"/>
      <dgm:spPr/>
    </dgm:pt>
    <dgm:pt modelId="{97EE81ED-71AC-4A93-9720-080A9F5AC8F1}" type="pres">
      <dgm:prSet presAssocID="{D80D808F-B161-413F-AA96-4ABECE658F93}" presName="Name37" presStyleLbl="parChTrans1D4" presStyleIdx="16" presStyleCnt="37"/>
      <dgm:spPr/>
    </dgm:pt>
    <dgm:pt modelId="{133CD979-E5EA-431A-8835-381C267E3F95}" type="pres">
      <dgm:prSet presAssocID="{FB395539-FD74-4463-8173-95B1B17CBEC0}" presName="hierRoot2" presStyleCnt="0">
        <dgm:presLayoutVars>
          <dgm:hierBranch val="init"/>
        </dgm:presLayoutVars>
      </dgm:prSet>
      <dgm:spPr/>
    </dgm:pt>
    <dgm:pt modelId="{1C47E9B7-E28B-49C5-9997-F76228BBCC76}" type="pres">
      <dgm:prSet presAssocID="{FB395539-FD74-4463-8173-95B1B17CBEC0}" presName="rootComposite" presStyleCnt="0"/>
      <dgm:spPr/>
    </dgm:pt>
    <dgm:pt modelId="{3574D4EE-39C1-4931-80B5-8BF2858B42D7}" type="pres">
      <dgm:prSet presAssocID="{FB395539-FD74-4463-8173-95B1B17CBEC0}" presName="rootText" presStyleLbl="node4" presStyleIdx="16" presStyleCnt="37" custScaleY="161535">
        <dgm:presLayoutVars>
          <dgm:chPref val="3"/>
        </dgm:presLayoutVars>
      </dgm:prSet>
      <dgm:spPr/>
    </dgm:pt>
    <dgm:pt modelId="{03A0AA24-E333-4197-9EFD-6A4571341834}" type="pres">
      <dgm:prSet presAssocID="{FB395539-FD74-4463-8173-95B1B17CBEC0}" presName="rootConnector" presStyleLbl="node4" presStyleIdx="16" presStyleCnt="37"/>
      <dgm:spPr/>
    </dgm:pt>
    <dgm:pt modelId="{AF6FACDC-FAD6-4A88-BBEF-B50C25F87497}" type="pres">
      <dgm:prSet presAssocID="{FB395539-FD74-4463-8173-95B1B17CBEC0}" presName="hierChild4" presStyleCnt="0"/>
      <dgm:spPr/>
    </dgm:pt>
    <dgm:pt modelId="{5B487D19-D98F-4737-91B8-58C164A554F6}" type="pres">
      <dgm:prSet presAssocID="{FB395539-FD74-4463-8173-95B1B17CBEC0}" presName="hierChild5" presStyleCnt="0"/>
      <dgm:spPr/>
    </dgm:pt>
    <dgm:pt modelId="{20CF9FB5-EED7-40F9-869B-82F0968FC2C6}" type="pres">
      <dgm:prSet presAssocID="{7C51B67D-3EC3-45F3-A058-5097FF033899}" presName="hierChild5" presStyleCnt="0"/>
      <dgm:spPr/>
    </dgm:pt>
    <dgm:pt modelId="{7A851033-6079-4A8B-8EA3-47B402C29C91}" type="pres">
      <dgm:prSet presAssocID="{E1F4F594-4646-4DC7-897F-DD5DC1AAD81D}" presName="hierChild5" presStyleCnt="0"/>
      <dgm:spPr/>
    </dgm:pt>
    <dgm:pt modelId="{61651D26-FC8C-4FB1-B956-E1C38AC9D1CE}" type="pres">
      <dgm:prSet presAssocID="{9A229108-FAAD-49C7-AFD0-49F1DE20AB0D}" presName="Name37" presStyleLbl="parChTrans1D2" presStyleIdx="1" presStyleCnt="2"/>
      <dgm:spPr/>
    </dgm:pt>
    <dgm:pt modelId="{42FEE44A-09A8-4FE9-B193-042A488840E8}" type="pres">
      <dgm:prSet presAssocID="{E29E5C84-A25E-4526-AC07-B81EFEAF4EC4}" presName="hierRoot2" presStyleCnt="0">
        <dgm:presLayoutVars>
          <dgm:hierBranch val="init"/>
        </dgm:presLayoutVars>
      </dgm:prSet>
      <dgm:spPr/>
    </dgm:pt>
    <dgm:pt modelId="{D88E91EB-0251-4408-8AC9-254C03966308}" type="pres">
      <dgm:prSet presAssocID="{E29E5C84-A25E-4526-AC07-B81EFEAF4EC4}" presName="rootComposite" presStyleCnt="0"/>
      <dgm:spPr/>
    </dgm:pt>
    <dgm:pt modelId="{145302FE-192E-4D67-A128-CB82735937E1}" type="pres">
      <dgm:prSet presAssocID="{E29E5C84-A25E-4526-AC07-B81EFEAF4EC4}" presName="rootText" presStyleLbl="node2" presStyleIdx="1" presStyleCnt="2" custScaleY="82645">
        <dgm:presLayoutVars>
          <dgm:chPref val="3"/>
        </dgm:presLayoutVars>
      </dgm:prSet>
      <dgm:spPr/>
    </dgm:pt>
    <dgm:pt modelId="{3400DA90-86C9-4E5E-9172-942EF99CFEE0}" type="pres">
      <dgm:prSet presAssocID="{E29E5C84-A25E-4526-AC07-B81EFEAF4EC4}" presName="rootConnector" presStyleLbl="node2" presStyleIdx="1" presStyleCnt="2"/>
      <dgm:spPr/>
    </dgm:pt>
    <dgm:pt modelId="{6A1E9CBE-02C3-4FE3-A3E4-39C9A72ADF45}" type="pres">
      <dgm:prSet presAssocID="{E29E5C84-A25E-4526-AC07-B81EFEAF4EC4}" presName="hierChild4" presStyleCnt="0"/>
      <dgm:spPr/>
    </dgm:pt>
    <dgm:pt modelId="{45C23A21-526D-4995-80E9-F0D07310475C}" type="pres">
      <dgm:prSet presAssocID="{CFD2F8C5-3B67-45E4-9D3E-AF14CE6CB8B5}" presName="Name37" presStyleLbl="parChTrans1D3" presStyleIdx="4" presStyleCnt="8"/>
      <dgm:spPr/>
    </dgm:pt>
    <dgm:pt modelId="{EF68E813-4563-4143-9918-9080178E09EF}" type="pres">
      <dgm:prSet presAssocID="{70F991E4-7254-4D65-957C-26F95EF3B597}" presName="hierRoot2" presStyleCnt="0">
        <dgm:presLayoutVars>
          <dgm:hierBranch val="init"/>
        </dgm:presLayoutVars>
      </dgm:prSet>
      <dgm:spPr/>
    </dgm:pt>
    <dgm:pt modelId="{04CA967E-C18A-431E-B86C-140C7E498434}" type="pres">
      <dgm:prSet presAssocID="{70F991E4-7254-4D65-957C-26F95EF3B597}" presName="rootComposite" presStyleCnt="0"/>
      <dgm:spPr/>
    </dgm:pt>
    <dgm:pt modelId="{486ED79C-08D3-4DE9-B07C-278B2AD7B158}" type="pres">
      <dgm:prSet presAssocID="{70F991E4-7254-4D65-957C-26F95EF3B597}" presName="rootText" presStyleLbl="node3" presStyleIdx="4" presStyleCnt="8" custScaleY="82645">
        <dgm:presLayoutVars>
          <dgm:chPref val="3"/>
        </dgm:presLayoutVars>
      </dgm:prSet>
      <dgm:spPr/>
    </dgm:pt>
    <dgm:pt modelId="{3FF6665E-2E66-477B-AF1C-30A37EC41554}" type="pres">
      <dgm:prSet presAssocID="{70F991E4-7254-4D65-957C-26F95EF3B597}" presName="rootConnector" presStyleLbl="node3" presStyleIdx="4" presStyleCnt="8"/>
      <dgm:spPr/>
    </dgm:pt>
    <dgm:pt modelId="{FB0399E9-DF52-4978-91EE-36B5D599D4FD}" type="pres">
      <dgm:prSet presAssocID="{70F991E4-7254-4D65-957C-26F95EF3B597}" presName="hierChild4" presStyleCnt="0"/>
      <dgm:spPr/>
    </dgm:pt>
    <dgm:pt modelId="{76EDC1CA-E2CE-4E06-B869-7414CB80862D}" type="pres">
      <dgm:prSet presAssocID="{52E1643A-3ECD-436E-A5EC-163390F39E85}" presName="Name37" presStyleLbl="parChTrans1D4" presStyleIdx="17" presStyleCnt="37"/>
      <dgm:spPr/>
    </dgm:pt>
    <dgm:pt modelId="{C953EFAB-4114-4748-A451-7A309B74DF4C}" type="pres">
      <dgm:prSet presAssocID="{7196EC7F-FD16-45B0-BE2A-DA56699DA492}" presName="hierRoot2" presStyleCnt="0">
        <dgm:presLayoutVars>
          <dgm:hierBranch val="init"/>
        </dgm:presLayoutVars>
      </dgm:prSet>
      <dgm:spPr/>
    </dgm:pt>
    <dgm:pt modelId="{8B4B4533-388A-4B84-BC72-C6A8625727EB}" type="pres">
      <dgm:prSet presAssocID="{7196EC7F-FD16-45B0-BE2A-DA56699DA492}" presName="rootComposite" presStyleCnt="0"/>
      <dgm:spPr/>
    </dgm:pt>
    <dgm:pt modelId="{0B4039FD-8638-46AB-A3DC-C2C60FD0C3B1}" type="pres">
      <dgm:prSet presAssocID="{7196EC7F-FD16-45B0-BE2A-DA56699DA492}" presName="rootText" presStyleLbl="node4" presStyleIdx="17" presStyleCnt="37" custScaleY="82645">
        <dgm:presLayoutVars>
          <dgm:chPref val="3"/>
        </dgm:presLayoutVars>
      </dgm:prSet>
      <dgm:spPr/>
    </dgm:pt>
    <dgm:pt modelId="{4CFB6EF5-80F8-4E2A-B950-6A7BE13203E9}" type="pres">
      <dgm:prSet presAssocID="{7196EC7F-FD16-45B0-BE2A-DA56699DA492}" presName="rootConnector" presStyleLbl="node4" presStyleIdx="17" presStyleCnt="37"/>
      <dgm:spPr/>
    </dgm:pt>
    <dgm:pt modelId="{AE559BA2-71A3-4F87-AAA4-95F02C66654F}" type="pres">
      <dgm:prSet presAssocID="{7196EC7F-FD16-45B0-BE2A-DA56699DA492}" presName="hierChild4" presStyleCnt="0"/>
      <dgm:spPr/>
    </dgm:pt>
    <dgm:pt modelId="{9B2E4364-717C-472A-B432-ED21CA40613F}" type="pres">
      <dgm:prSet presAssocID="{7196EC7F-FD16-45B0-BE2A-DA56699DA492}" presName="hierChild5" presStyleCnt="0"/>
      <dgm:spPr/>
    </dgm:pt>
    <dgm:pt modelId="{82DC4258-3990-41B0-8027-B610847D4D14}" type="pres">
      <dgm:prSet presAssocID="{3F3DCC9D-C6CA-468D-8612-0EFB4C9E2D49}" presName="Name37" presStyleLbl="parChTrans1D4" presStyleIdx="18" presStyleCnt="37"/>
      <dgm:spPr/>
    </dgm:pt>
    <dgm:pt modelId="{C44D15D7-D30A-4D98-A57A-FCE2289098E1}" type="pres">
      <dgm:prSet presAssocID="{71FF4F9D-D92E-4718-8B2A-B39C727AF537}" presName="hierRoot2" presStyleCnt="0">
        <dgm:presLayoutVars>
          <dgm:hierBranch val="init"/>
        </dgm:presLayoutVars>
      </dgm:prSet>
      <dgm:spPr/>
    </dgm:pt>
    <dgm:pt modelId="{4F96332C-BBCE-4691-8AF5-7E5D707E0917}" type="pres">
      <dgm:prSet presAssocID="{71FF4F9D-D92E-4718-8B2A-B39C727AF537}" presName="rootComposite" presStyleCnt="0"/>
      <dgm:spPr/>
    </dgm:pt>
    <dgm:pt modelId="{5FFA63E0-79A3-483C-917C-3EFE1E1991FD}" type="pres">
      <dgm:prSet presAssocID="{71FF4F9D-D92E-4718-8B2A-B39C727AF537}" presName="rootText" presStyleLbl="node4" presStyleIdx="18" presStyleCnt="37" custScaleY="82645">
        <dgm:presLayoutVars>
          <dgm:chPref val="3"/>
        </dgm:presLayoutVars>
      </dgm:prSet>
      <dgm:spPr/>
    </dgm:pt>
    <dgm:pt modelId="{9D74C5B6-4C2C-4CB0-826E-E717666CA8D7}" type="pres">
      <dgm:prSet presAssocID="{71FF4F9D-D92E-4718-8B2A-B39C727AF537}" presName="rootConnector" presStyleLbl="node4" presStyleIdx="18" presStyleCnt="37"/>
      <dgm:spPr/>
    </dgm:pt>
    <dgm:pt modelId="{68C42793-3AC3-4FB9-A845-77FB9D71A6D5}" type="pres">
      <dgm:prSet presAssocID="{71FF4F9D-D92E-4718-8B2A-B39C727AF537}" presName="hierChild4" presStyleCnt="0"/>
      <dgm:spPr/>
    </dgm:pt>
    <dgm:pt modelId="{60DE541E-9E7A-481D-9704-FCBDA3F573BA}" type="pres">
      <dgm:prSet presAssocID="{71FF4F9D-D92E-4718-8B2A-B39C727AF537}" presName="hierChild5" presStyleCnt="0"/>
      <dgm:spPr/>
    </dgm:pt>
    <dgm:pt modelId="{11DC0A18-B3D5-4C68-AC78-B87FE727FBA6}" type="pres">
      <dgm:prSet presAssocID="{4ACFA607-348B-4159-983B-3D008F2DBA35}" presName="Name37" presStyleLbl="parChTrans1D4" presStyleIdx="19" presStyleCnt="37"/>
      <dgm:spPr/>
    </dgm:pt>
    <dgm:pt modelId="{8FAEEB1B-03A2-4538-A00B-1D801AB64D26}" type="pres">
      <dgm:prSet presAssocID="{3D48A6CE-2D76-4F2F-A23C-13DFC9BE684B}" presName="hierRoot2" presStyleCnt="0">
        <dgm:presLayoutVars>
          <dgm:hierBranch val="init"/>
        </dgm:presLayoutVars>
      </dgm:prSet>
      <dgm:spPr/>
    </dgm:pt>
    <dgm:pt modelId="{23F84A67-43A2-4C1B-9314-6E754A99B7E1}" type="pres">
      <dgm:prSet presAssocID="{3D48A6CE-2D76-4F2F-A23C-13DFC9BE684B}" presName="rootComposite" presStyleCnt="0"/>
      <dgm:spPr/>
    </dgm:pt>
    <dgm:pt modelId="{3F19BEEA-2972-4C60-A481-706E29604547}" type="pres">
      <dgm:prSet presAssocID="{3D48A6CE-2D76-4F2F-A23C-13DFC9BE684B}" presName="rootText" presStyleLbl="node4" presStyleIdx="19" presStyleCnt="37" custScaleY="82645">
        <dgm:presLayoutVars>
          <dgm:chPref val="3"/>
        </dgm:presLayoutVars>
      </dgm:prSet>
      <dgm:spPr/>
    </dgm:pt>
    <dgm:pt modelId="{0339D3B9-1F4C-48F7-893E-19C7F15D834F}" type="pres">
      <dgm:prSet presAssocID="{3D48A6CE-2D76-4F2F-A23C-13DFC9BE684B}" presName="rootConnector" presStyleLbl="node4" presStyleIdx="19" presStyleCnt="37"/>
      <dgm:spPr/>
    </dgm:pt>
    <dgm:pt modelId="{85DCD531-A316-4FAA-873F-21A37A883831}" type="pres">
      <dgm:prSet presAssocID="{3D48A6CE-2D76-4F2F-A23C-13DFC9BE684B}" presName="hierChild4" presStyleCnt="0"/>
      <dgm:spPr/>
    </dgm:pt>
    <dgm:pt modelId="{97EB9636-CF8D-4AD0-B4B0-6200F63658BB}" type="pres">
      <dgm:prSet presAssocID="{3D48A6CE-2D76-4F2F-A23C-13DFC9BE684B}" presName="hierChild5" presStyleCnt="0"/>
      <dgm:spPr/>
    </dgm:pt>
    <dgm:pt modelId="{6878A38C-C478-465C-A2C4-06A1876DFDAA}" type="pres">
      <dgm:prSet presAssocID="{40401FAB-9ED2-45C8-A059-202163F512DF}" presName="Name37" presStyleLbl="parChTrans1D4" presStyleIdx="20" presStyleCnt="37"/>
      <dgm:spPr/>
    </dgm:pt>
    <dgm:pt modelId="{CC4A6E25-1457-4EBF-B7E4-AFD8CFAF6A1C}" type="pres">
      <dgm:prSet presAssocID="{5869D9B4-145E-4673-A8F5-822BE4C613F4}" presName="hierRoot2" presStyleCnt="0">
        <dgm:presLayoutVars>
          <dgm:hierBranch val="init"/>
        </dgm:presLayoutVars>
      </dgm:prSet>
      <dgm:spPr/>
    </dgm:pt>
    <dgm:pt modelId="{EA21F26A-3218-4D0D-84DC-A3279B0BC6F8}" type="pres">
      <dgm:prSet presAssocID="{5869D9B4-145E-4673-A8F5-822BE4C613F4}" presName="rootComposite" presStyleCnt="0"/>
      <dgm:spPr/>
    </dgm:pt>
    <dgm:pt modelId="{47C18FCF-589D-4184-A8F7-80147DC4D983}" type="pres">
      <dgm:prSet presAssocID="{5869D9B4-145E-4673-A8F5-822BE4C613F4}" presName="rootText" presStyleLbl="node4" presStyleIdx="20" presStyleCnt="37" custScaleY="82645">
        <dgm:presLayoutVars>
          <dgm:chPref val="3"/>
        </dgm:presLayoutVars>
      </dgm:prSet>
      <dgm:spPr/>
    </dgm:pt>
    <dgm:pt modelId="{6D1FEB00-85F0-4935-AE4B-7E46722A9AA5}" type="pres">
      <dgm:prSet presAssocID="{5869D9B4-145E-4673-A8F5-822BE4C613F4}" presName="rootConnector" presStyleLbl="node4" presStyleIdx="20" presStyleCnt="37"/>
      <dgm:spPr/>
    </dgm:pt>
    <dgm:pt modelId="{8765A389-C306-47FF-BD29-E7B5BE247295}" type="pres">
      <dgm:prSet presAssocID="{5869D9B4-145E-4673-A8F5-822BE4C613F4}" presName="hierChild4" presStyleCnt="0"/>
      <dgm:spPr/>
    </dgm:pt>
    <dgm:pt modelId="{17E84F9C-A6D7-4F0C-9358-0BFE6E842C6E}" type="pres">
      <dgm:prSet presAssocID="{5869D9B4-145E-4673-A8F5-822BE4C613F4}" presName="hierChild5" presStyleCnt="0"/>
      <dgm:spPr/>
    </dgm:pt>
    <dgm:pt modelId="{7744F35A-358F-4F86-8A56-7E3EB52666EF}" type="pres">
      <dgm:prSet presAssocID="{8B1B9236-759F-4888-889F-DDB8592BF68C}" presName="Name37" presStyleLbl="parChTrans1D4" presStyleIdx="21" presStyleCnt="37"/>
      <dgm:spPr/>
    </dgm:pt>
    <dgm:pt modelId="{FC7F1AA4-3883-422A-B96D-E8CD1323EDF4}" type="pres">
      <dgm:prSet presAssocID="{11A31DAE-352E-4BF8-92BF-E24226CA7F1A}" presName="hierRoot2" presStyleCnt="0">
        <dgm:presLayoutVars>
          <dgm:hierBranch val="init"/>
        </dgm:presLayoutVars>
      </dgm:prSet>
      <dgm:spPr/>
    </dgm:pt>
    <dgm:pt modelId="{464FA565-946C-48A3-B884-5D1A19AF16CB}" type="pres">
      <dgm:prSet presAssocID="{11A31DAE-352E-4BF8-92BF-E24226CA7F1A}" presName="rootComposite" presStyleCnt="0"/>
      <dgm:spPr/>
    </dgm:pt>
    <dgm:pt modelId="{A4DA0507-E977-41F1-9DE0-A7C6400DB3E1}" type="pres">
      <dgm:prSet presAssocID="{11A31DAE-352E-4BF8-92BF-E24226CA7F1A}" presName="rootText" presStyleLbl="node4" presStyleIdx="21" presStyleCnt="37" custScaleY="82645">
        <dgm:presLayoutVars>
          <dgm:chPref val="3"/>
        </dgm:presLayoutVars>
      </dgm:prSet>
      <dgm:spPr/>
    </dgm:pt>
    <dgm:pt modelId="{44B44150-C33E-4298-8711-4EBAB8C1F95F}" type="pres">
      <dgm:prSet presAssocID="{11A31DAE-352E-4BF8-92BF-E24226CA7F1A}" presName="rootConnector" presStyleLbl="node4" presStyleIdx="21" presStyleCnt="37"/>
      <dgm:spPr/>
    </dgm:pt>
    <dgm:pt modelId="{69774F6A-7FD4-4E6A-88BE-1400E143A545}" type="pres">
      <dgm:prSet presAssocID="{11A31DAE-352E-4BF8-92BF-E24226CA7F1A}" presName="hierChild4" presStyleCnt="0"/>
      <dgm:spPr/>
    </dgm:pt>
    <dgm:pt modelId="{0566E8DD-A1E8-4A6E-8037-898DE350FB13}" type="pres">
      <dgm:prSet presAssocID="{11A31DAE-352E-4BF8-92BF-E24226CA7F1A}" presName="hierChild5" presStyleCnt="0"/>
      <dgm:spPr/>
    </dgm:pt>
    <dgm:pt modelId="{E92FE6CB-CD8F-4277-AC94-60A1056022F4}" type="pres">
      <dgm:prSet presAssocID="{70F991E4-7254-4D65-957C-26F95EF3B597}" presName="hierChild5" presStyleCnt="0"/>
      <dgm:spPr/>
    </dgm:pt>
    <dgm:pt modelId="{FD27F35D-0079-4789-9149-18713D15AEBF}" type="pres">
      <dgm:prSet presAssocID="{E96AAEDA-FE95-491D-95C5-984DDBE23987}" presName="Name37" presStyleLbl="parChTrans1D3" presStyleIdx="5" presStyleCnt="8"/>
      <dgm:spPr/>
    </dgm:pt>
    <dgm:pt modelId="{DD54024B-CB3A-4D00-9FE2-1D71A1609282}" type="pres">
      <dgm:prSet presAssocID="{87808678-A671-475E-AF31-49E04FE77663}" presName="hierRoot2" presStyleCnt="0">
        <dgm:presLayoutVars>
          <dgm:hierBranch val="init"/>
        </dgm:presLayoutVars>
      </dgm:prSet>
      <dgm:spPr/>
    </dgm:pt>
    <dgm:pt modelId="{081A3F3D-9560-4B2F-8AD7-C652C478BB02}" type="pres">
      <dgm:prSet presAssocID="{87808678-A671-475E-AF31-49E04FE77663}" presName="rootComposite" presStyleCnt="0"/>
      <dgm:spPr/>
    </dgm:pt>
    <dgm:pt modelId="{55B194FE-4CA4-42CA-926C-EB9B8A79C867}" type="pres">
      <dgm:prSet presAssocID="{87808678-A671-475E-AF31-49E04FE77663}" presName="rootText" presStyleLbl="node3" presStyleIdx="5" presStyleCnt="8" custScaleY="82645">
        <dgm:presLayoutVars>
          <dgm:chPref val="3"/>
        </dgm:presLayoutVars>
      </dgm:prSet>
      <dgm:spPr/>
    </dgm:pt>
    <dgm:pt modelId="{DF588E0D-9B25-406A-8ECB-095CBC76C9BB}" type="pres">
      <dgm:prSet presAssocID="{87808678-A671-475E-AF31-49E04FE77663}" presName="rootConnector" presStyleLbl="node3" presStyleIdx="5" presStyleCnt="8"/>
      <dgm:spPr/>
    </dgm:pt>
    <dgm:pt modelId="{70298609-C5B3-44FE-88AA-05AF069C87EA}" type="pres">
      <dgm:prSet presAssocID="{87808678-A671-475E-AF31-49E04FE77663}" presName="hierChild4" presStyleCnt="0"/>
      <dgm:spPr/>
    </dgm:pt>
    <dgm:pt modelId="{DF6AADC5-D1E7-4A2D-923F-361736AB23A5}" type="pres">
      <dgm:prSet presAssocID="{9C793535-AAE9-4525-8F32-D025EF0EB953}" presName="Name37" presStyleLbl="parChTrans1D4" presStyleIdx="22" presStyleCnt="37"/>
      <dgm:spPr/>
    </dgm:pt>
    <dgm:pt modelId="{5285AE1E-ED24-4CDF-9912-F8A5AD3EC098}" type="pres">
      <dgm:prSet presAssocID="{0B9972C5-D9C7-41C0-BDA4-F67718C3DFE7}" presName="hierRoot2" presStyleCnt="0">
        <dgm:presLayoutVars>
          <dgm:hierBranch val="init"/>
        </dgm:presLayoutVars>
      </dgm:prSet>
      <dgm:spPr/>
    </dgm:pt>
    <dgm:pt modelId="{3BFD4FB9-CABA-4661-AB41-2026C2AD8EC3}" type="pres">
      <dgm:prSet presAssocID="{0B9972C5-D9C7-41C0-BDA4-F67718C3DFE7}" presName="rootComposite" presStyleCnt="0"/>
      <dgm:spPr/>
    </dgm:pt>
    <dgm:pt modelId="{AE95CDFA-675A-43B4-82AC-EA4BBF8C7C64}" type="pres">
      <dgm:prSet presAssocID="{0B9972C5-D9C7-41C0-BDA4-F67718C3DFE7}" presName="rootText" presStyleLbl="node4" presStyleIdx="22" presStyleCnt="37" custScaleY="82645">
        <dgm:presLayoutVars>
          <dgm:chPref val="3"/>
        </dgm:presLayoutVars>
      </dgm:prSet>
      <dgm:spPr/>
    </dgm:pt>
    <dgm:pt modelId="{F735D1C0-9945-4893-989C-404C3D9B7043}" type="pres">
      <dgm:prSet presAssocID="{0B9972C5-D9C7-41C0-BDA4-F67718C3DFE7}" presName="rootConnector" presStyleLbl="node4" presStyleIdx="22" presStyleCnt="37"/>
      <dgm:spPr/>
    </dgm:pt>
    <dgm:pt modelId="{5F2A3F62-F73B-4FC1-B627-DF442F00400E}" type="pres">
      <dgm:prSet presAssocID="{0B9972C5-D9C7-41C0-BDA4-F67718C3DFE7}" presName="hierChild4" presStyleCnt="0"/>
      <dgm:spPr/>
    </dgm:pt>
    <dgm:pt modelId="{78572D60-6322-499E-BD48-F94C005ECF08}" type="pres">
      <dgm:prSet presAssocID="{0B9972C5-D9C7-41C0-BDA4-F67718C3DFE7}" presName="hierChild5" presStyleCnt="0"/>
      <dgm:spPr/>
    </dgm:pt>
    <dgm:pt modelId="{CD18D46E-88DE-4992-8A5E-416A364F6987}" type="pres">
      <dgm:prSet presAssocID="{C62CA505-4983-4142-BF53-95334CF57C59}" presName="Name37" presStyleLbl="parChTrans1D4" presStyleIdx="23" presStyleCnt="37"/>
      <dgm:spPr/>
    </dgm:pt>
    <dgm:pt modelId="{470758BE-C9C5-4B8F-87E6-90F2D2B45673}" type="pres">
      <dgm:prSet presAssocID="{A80D8A88-0315-4925-922E-91051C3ECBAD}" presName="hierRoot2" presStyleCnt="0">
        <dgm:presLayoutVars>
          <dgm:hierBranch val="init"/>
        </dgm:presLayoutVars>
      </dgm:prSet>
      <dgm:spPr/>
    </dgm:pt>
    <dgm:pt modelId="{C2F58A6F-33F5-4CD3-B3A0-15AC00CAA0C4}" type="pres">
      <dgm:prSet presAssocID="{A80D8A88-0315-4925-922E-91051C3ECBAD}" presName="rootComposite" presStyleCnt="0"/>
      <dgm:spPr/>
    </dgm:pt>
    <dgm:pt modelId="{EC1E84DB-6112-4937-AD2E-9A25DB5F2CCC}" type="pres">
      <dgm:prSet presAssocID="{A80D8A88-0315-4925-922E-91051C3ECBAD}" presName="rootText" presStyleLbl="node4" presStyleIdx="23" presStyleCnt="37" custScaleY="82645">
        <dgm:presLayoutVars>
          <dgm:chPref val="3"/>
        </dgm:presLayoutVars>
      </dgm:prSet>
      <dgm:spPr/>
    </dgm:pt>
    <dgm:pt modelId="{3A775F16-E4E1-4ACA-A8DE-0D1DB2B3B300}" type="pres">
      <dgm:prSet presAssocID="{A80D8A88-0315-4925-922E-91051C3ECBAD}" presName="rootConnector" presStyleLbl="node4" presStyleIdx="23" presStyleCnt="37"/>
      <dgm:spPr/>
    </dgm:pt>
    <dgm:pt modelId="{4880E5E4-32CB-4767-848C-4038508640FE}" type="pres">
      <dgm:prSet presAssocID="{A80D8A88-0315-4925-922E-91051C3ECBAD}" presName="hierChild4" presStyleCnt="0"/>
      <dgm:spPr/>
    </dgm:pt>
    <dgm:pt modelId="{DA412D11-C51F-47B9-BE0C-F41496D4AE4C}" type="pres">
      <dgm:prSet presAssocID="{A80D8A88-0315-4925-922E-91051C3ECBAD}" presName="hierChild5" presStyleCnt="0"/>
      <dgm:spPr/>
    </dgm:pt>
    <dgm:pt modelId="{2A38F4F1-A72D-463B-A756-4F1EA2BDC562}" type="pres">
      <dgm:prSet presAssocID="{BF2139A9-7750-4947-A7C5-18C839D17192}" presName="Name37" presStyleLbl="parChTrans1D4" presStyleIdx="24" presStyleCnt="37"/>
      <dgm:spPr/>
    </dgm:pt>
    <dgm:pt modelId="{D27C3086-F936-4F46-B844-2BA7E7F582A6}" type="pres">
      <dgm:prSet presAssocID="{C25ABE28-D360-496D-9B6C-ECB26119C58E}" presName="hierRoot2" presStyleCnt="0">
        <dgm:presLayoutVars>
          <dgm:hierBranch val="init"/>
        </dgm:presLayoutVars>
      </dgm:prSet>
      <dgm:spPr/>
    </dgm:pt>
    <dgm:pt modelId="{BE2AA7AA-94F8-4254-B692-FEFE59BBB101}" type="pres">
      <dgm:prSet presAssocID="{C25ABE28-D360-496D-9B6C-ECB26119C58E}" presName="rootComposite" presStyleCnt="0"/>
      <dgm:spPr/>
    </dgm:pt>
    <dgm:pt modelId="{B9FD17EE-61BE-4D39-9038-AD631FF54516}" type="pres">
      <dgm:prSet presAssocID="{C25ABE28-D360-496D-9B6C-ECB26119C58E}" presName="rootText" presStyleLbl="node4" presStyleIdx="24" presStyleCnt="37" custScaleY="82645">
        <dgm:presLayoutVars>
          <dgm:chPref val="3"/>
        </dgm:presLayoutVars>
      </dgm:prSet>
      <dgm:spPr/>
    </dgm:pt>
    <dgm:pt modelId="{B4ABF7B0-37D7-4E83-BBA8-438C7CA5693F}" type="pres">
      <dgm:prSet presAssocID="{C25ABE28-D360-496D-9B6C-ECB26119C58E}" presName="rootConnector" presStyleLbl="node4" presStyleIdx="24" presStyleCnt="37"/>
      <dgm:spPr/>
    </dgm:pt>
    <dgm:pt modelId="{91A5CC58-76C2-48BD-A2D2-E8CDD50A5386}" type="pres">
      <dgm:prSet presAssocID="{C25ABE28-D360-496D-9B6C-ECB26119C58E}" presName="hierChild4" presStyleCnt="0"/>
      <dgm:spPr/>
    </dgm:pt>
    <dgm:pt modelId="{9B6CC019-85C1-4647-BD7F-7D233BE6D00B}" type="pres">
      <dgm:prSet presAssocID="{C25ABE28-D360-496D-9B6C-ECB26119C58E}" presName="hierChild5" presStyleCnt="0"/>
      <dgm:spPr/>
    </dgm:pt>
    <dgm:pt modelId="{B30386BF-4EF7-4774-96E4-587DB6B9B081}" type="pres">
      <dgm:prSet presAssocID="{9030327D-25F6-45AA-BBCF-98B66A5F6CD7}" presName="Name37" presStyleLbl="parChTrans1D4" presStyleIdx="25" presStyleCnt="37"/>
      <dgm:spPr/>
    </dgm:pt>
    <dgm:pt modelId="{43ECF4B8-CC89-4881-BD21-8860CC11AD9E}" type="pres">
      <dgm:prSet presAssocID="{8FDE9346-7471-48C1-ABB0-987F9D56D9D6}" presName="hierRoot2" presStyleCnt="0">
        <dgm:presLayoutVars>
          <dgm:hierBranch val="init"/>
        </dgm:presLayoutVars>
      </dgm:prSet>
      <dgm:spPr/>
    </dgm:pt>
    <dgm:pt modelId="{FE7AFEAD-251E-40B0-AD32-B2AAD2919AFB}" type="pres">
      <dgm:prSet presAssocID="{8FDE9346-7471-48C1-ABB0-987F9D56D9D6}" presName="rootComposite" presStyleCnt="0"/>
      <dgm:spPr/>
    </dgm:pt>
    <dgm:pt modelId="{00A75874-4201-47A0-ADA7-0D5A9257D78B}" type="pres">
      <dgm:prSet presAssocID="{8FDE9346-7471-48C1-ABB0-987F9D56D9D6}" presName="rootText" presStyleLbl="node4" presStyleIdx="25" presStyleCnt="37" custScaleY="82645">
        <dgm:presLayoutVars>
          <dgm:chPref val="3"/>
        </dgm:presLayoutVars>
      </dgm:prSet>
      <dgm:spPr/>
    </dgm:pt>
    <dgm:pt modelId="{4239DA5A-5717-41B8-9618-63C6A3FB60AA}" type="pres">
      <dgm:prSet presAssocID="{8FDE9346-7471-48C1-ABB0-987F9D56D9D6}" presName="rootConnector" presStyleLbl="node4" presStyleIdx="25" presStyleCnt="37"/>
      <dgm:spPr/>
    </dgm:pt>
    <dgm:pt modelId="{E1256005-8C1C-4E6D-A446-70923ED6F1C9}" type="pres">
      <dgm:prSet presAssocID="{8FDE9346-7471-48C1-ABB0-987F9D56D9D6}" presName="hierChild4" presStyleCnt="0"/>
      <dgm:spPr/>
    </dgm:pt>
    <dgm:pt modelId="{36D5B97A-31DA-4583-B873-F5E4DD70EA97}" type="pres">
      <dgm:prSet presAssocID="{8FDE9346-7471-48C1-ABB0-987F9D56D9D6}" presName="hierChild5" presStyleCnt="0"/>
      <dgm:spPr/>
    </dgm:pt>
    <dgm:pt modelId="{3580DF6B-1B7E-4AE1-AE40-6F10EBF194CD}" type="pres">
      <dgm:prSet presAssocID="{87808678-A671-475E-AF31-49E04FE77663}" presName="hierChild5" presStyleCnt="0"/>
      <dgm:spPr/>
    </dgm:pt>
    <dgm:pt modelId="{5EA8C2E0-C30E-46FD-A07E-7C52DB3B6FA2}" type="pres">
      <dgm:prSet presAssocID="{415DFF72-198D-45E9-8CDC-10051DA61274}" presName="Name37" presStyleLbl="parChTrans1D3" presStyleIdx="6" presStyleCnt="8"/>
      <dgm:spPr/>
    </dgm:pt>
    <dgm:pt modelId="{BA5581BC-A773-4800-9F8F-D21100406248}" type="pres">
      <dgm:prSet presAssocID="{1D1B8B76-6D21-4B49-B3FE-0BB29CB58A29}" presName="hierRoot2" presStyleCnt="0">
        <dgm:presLayoutVars>
          <dgm:hierBranch val="init"/>
        </dgm:presLayoutVars>
      </dgm:prSet>
      <dgm:spPr/>
    </dgm:pt>
    <dgm:pt modelId="{22CE1351-0142-4AE5-968A-249DEE6302EE}" type="pres">
      <dgm:prSet presAssocID="{1D1B8B76-6D21-4B49-B3FE-0BB29CB58A29}" presName="rootComposite" presStyleCnt="0"/>
      <dgm:spPr/>
    </dgm:pt>
    <dgm:pt modelId="{BB98FCBB-EE7A-4658-9219-303F93DA6698}" type="pres">
      <dgm:prSet presAssocID="{1D1B8B76-6D21-4B49-B3FE-0BB29CB58A29}" presName="rootText" presStyleLbl="node3" presStyleIdx="6" presStyleCnt="8" custScaleY="82645">
        <dgm:presLayoutVars>
          <dgm:chPref val="3"/>
        </dgm:presLayoutVars>
      </dgm:prSet>
      <dgm:spPr/>
    </dgm:pt>
    <dgm:pt modelId="{BFA8EA8D-D845-4D66-B731-B2D98F94E459}" type="pres">
      <dgm:prSet presAssocID="{1D1B8B76-6D21-4B49-B3FE-0BB29CB58A29}" presName="rootConnector" presStyleLbl="node3" presStyleIdx="6" presStyleCnt="8"/>
      <dgm:spPr/>
    </dgm:pt>
    <dgm:pt modelId="{FC94AED5-10EC-4E05-8608-7E72DD25C5C9}" type="pres">
      <dgm:prSet presAssocID="{1D1B8B76-6D21-4B49-B3FE-0BB29CB58A29}" presName="hierChild4" presStyleCnt="0"/>
      <dgm:spPr/>
    </dgm:pt>
    <dgm:pt modelId="{DBD97349-31BC-48C5-846F-270F33919490}" type="pres">
      <dgm:prSet presAssocID="{19E605B3-2659-4E36-80B0-D57323BB4871}" presName="Name37" presStyleLbl="parChTrans1D4" presStyleIdx="26" presStyleCnt="37"/>
      <dgm:spPr/>
    </dgm:pt>
    <dgm:pt modelId="{7142D834-2412-44C0-BA4F-C4217F9479D1}" type="pres">
      <dgm:prSet presAssocID="{45243D2E-ADF1-4B1E-8FBE-88320EF10A63}" presName="hierRoot2" presStyleCnt="0">
        <dgm:presLayoutVars>
          <dgm:hierBranch val="init"/>
        </dgm:presLayoutVars>
      </dgm:prSet>
      <dgm:spPr/>
    </dgm:pt>
    <dgm:pt modelId="{BB3825DD-B21F-4D1D-977B-2D18F1E30916}" type="pres">
      <dgm:prSet presAssocID="{45243D2E-ADF1-4B1E-8FBE-88320EF10A63}" presName="rootComposite" presStyleCnt="0"/>
      <dgm:spPr/>
    </dgm:pt>
    <dgm:pt modelId="{BB1C01D0-9255-44A9-99BD-61C23D8AF35B}" type="pres">
      <dgm:prSet presAssocID="{45243D2E-ADF1-4B1E-8FBE-88320EF10A63}" presName="rootText" presStyleLbl="node4" presStyleIdx="26" presStyleCnt="37" custScaleY="82645">
        <dgm:presLayoutVars>
          <dgm:chPref val="3"/>
        </dgm:presLayoutVars>
      </dgm:prSet>
      <dgm:spPr/>
    </dgm:pt>
    <dgm:pt modelId="{4457CC61-CD64-48BA-BBFB-96E8BD35DD70}" type="pres">
      <dgm:prSet presAssocID="{45243D2E-ADF1-4B1E-8FBE-88320EF10A63}" presName="rootConnector" presStyleLbl="node4" presStyleIdx="26" presStyleCnt="37"/>
      <dgm:spPr/>
    </dgm:pt>
    <dgm:pt modelId="{A6C0EA22-CCAA-4EC8-8E8B-7D70719E45FB}" type="pres">
      <dgm:prSet presAssocID="{45243D2E-ADF1-4B1E-8FBE-88320EF10A63}" presName="hierChild4" presStyleCnt="0"/>
      <dgm:spPr/>
    </dgm:pt>
    <dgm:pt modelId="{29FF6DD0-6405-421F-9757-6A65953EA4CA}" type="pres">
      <dgm:prSet presAssocID="{45243D2E-ADF1-4B1E-8FBE-88320EF10A63}" presName="hierChild5" presStyleCnt="0"/>
      <dgm:spPr/>
    </dgm:pt>
    <dgm:pt modelId="{98C110D0-630C-4EAA-94E4-07C2E705407A}" type="pres">
      <dgm:prSet presAssocID="{D3919E75-DAAE-47ED-90DB-C033769C37DC}" presName="Name37" presStyleLbl="parChTrans1D4" presStyleIdx="27" presStyleCnt="37"/>
      <dgm:spPr/>
    </dgm:pt>
    <dgm:pt modelId="{C498955D-D576-4C85-990F-72623CE184D7}" type="pres">
      <dgm:prSet presAssocID="{90281C54-0751-4A4D-8C2E-8108CCA18992}" presName="hierRoot2" presStyleCnt="0">
        <dgm:presLayoutVars>
          <dgm:hierBranch val="init"/>
        </dgm:presLayoutVars>
      </dgm:prSet>
      <dgm:spPr/>
    </dgm:pt>
    <dgm:pt modelId="{D7EDC37C-AACA-409C-908D-254D6F792C88}" type="pres">
      <dgm:prSet presAssocID="{90281C54-0751-4A4D-8C2E-8108CCA18992}" presName="rootComposite" presStyleCnt="0"/>
      <dgm:spPr/>
    </dgm:pt>
    <dgm:pt modelId="{BFAE9770-EC7A-4C0C-905D-F311C8D2168D}" type="pres">
      <dgm:prSet presAssocID="{90281C54-0751-4A4D-8C2E-8108CCA18992}" presName="rootText" presStyleLbl="node4" presStyleIdx="27" presStyleCnt="37" custScaleY="82645">
        <dgm:presLayoutVars>
          <dgm:chPref val="3"/>
        </dgm:presLayoutVars>
      </dgm:prSet>
      <dgm:spPr/>
    </dgm:pt>
    <dgm:pt modelId="{287856A3-DA1E-4C0C-A7B8-D0A73E9E73A7}" type="pres">
      <dgm:prSet presAssocID="{90281C54-0751-4A4D-8C2E-8108CCA18992}" presName="rootConnector" presStyleLbl="node4" presStyleIdx="27" presStyleCnt="37"/>
      <dgm:spPr/>
    </dgm:pt>
    <dgm:pt modelId="{9C7029A3-E22B-4DD1-A669-7A65DE8DF30F}" type="pres">
      <dgm:prSet presAssocID="{90281C54-0751-4A4D-8C2E-8108CCA18992}" presName="hierChild4" presStyleCnt="0"/>
      <dgm:spPr/>
    </dgm:pt>
    <dgm:pt modelId="{D4808317-EAC9-48C8-AB89-EF56414D9774}" type="pres">
      <dgm:prSet presAssocID="{90281C54-0751-4A4D-8C2E-8108CCA18992}" presName="hierChild5" presStyleCnt="0"/>
      <dgm:spPr/>
    </dgm:pt>
    <dgm:pt modelId="{7A91D0E8-AD6D-4E30-9B18-342647167BB1}" type="pres">
      <dgm:prSet presAssocID="{4C8136DE-0B50-405A-B9A8-F66D7A134F14}" presName="Name37" presStyleLbl="parChTrans1D4" presStyleIdx="28" presStyleCnt="37"/>
      <dgm:spPr/>
    </dgm:pt>
    <dgm:pt modelId="{5FEC4390-6CCF-4E1D-AAAF-030BF3304971}" type="pres">
      <dgm:prSet presAssocID="{A834424E-8BBE-44F3-AB45-5236423699CE}" presName="hierRoot2" presStyleCnt="0">
        <dgm:presLayoutVars>
          <dgm:hierBranch val="init"/>
        </dgm:presLayoutVars>
      </dgm:prSet>
      <dgm:spPr/>
    </dgm:pt>
    <dgm:pt modelId="{F14D1C97-12F3-4750-847E-EE751EF7DA2A}" type="pres">
      <dgm:prSet presAssocID="{A834424E-8BBE-44F3-AB45-5236423699CE}" presName="rootComposite" presStyleCnt="0"/>
      <dgm:spPr/>
    </dgm:pt>
    <dgm:pt modelId="{ECDF546D-D860-4D1A-80A4-B46FDA228AE7}" type="pres">
      <dgm:prSet presAssocID="{A834424E-8BBE-44F3-AB45-5236423699CE}" presName="rootText" presStyleLbl="node4" presStyleIdx="28" presStyleCnt="37" custScaleY="82645">
        <dgm:presLayoutVars>
          <dgm:chPref val="3"/>
        </dgm:presLayoutVars>
      </dgm:prSet>
      <dgm:spPr/>
    </dgm:pt>
    <dgm:pt modelId="{BAE2AAC9-D11B-4592-B7E9-1B057BEC527A}" type="pres">
      <dgm:prSet presAssocID="{A834424E-8BBE-44F3-AB45-5236423699CE}" presName="rootConnector" presStyleLbl="node4" presStyleIdx="28" presStyleCnt="37"/>
      <dgm:spPr/>
    </dgm:pt>
    <dgm:pt modelId="{3C94E67D-4437-4EA3-9998-627F6CAF7835}" type="pres">
      <dgm:prSet presAssocID="{A834424E-8BBE-44F3-AB45-5236423699CE}" presName="hierChild4" presStyleCnt="0"/>
      <dgm:spPr/>
    </dgm:pt>
    <dgm:pt modelId="{112FE73D-0C06-43AD-A93B-F6F15865452D}" type="pres">
      <dgm:prSet presAssocID="{A834424E-8BBE-44F3-AB45-5236423699CE}" presName="hierChild5" presStyleCnt="0"/>
      <dgm:spPr/>
    </dgm:pt>
    <dgm:pt modelId="{5AC5B411-D156-4AF3-9A31-07881E460FBE}" type="pres">
      <dgm:prSet presAssocID="{5ACF1A68-C049-436E-97A3-1CF69AB915D8}" presName="Name37" presStyleLbl="parChTrans1D4" presStyleIdx="29" presStyleCnt="37"/>
      <dgm:spPr/>
    </dgm:pt>
    <dgm:pt modelId="{5AF37130-F5B7-4E66-8B99-F469F44F478C}" type="pres">
      <dgm:prSet presAssocID="{33E9EEA0-4202-4F92-AE86-52E831CDD874}" presName="hierRoot2" presStyleCnt="0">
        <dgm:presLayoutVars>
          <dgm:hierBranch val="init"/>
        </dgm:presLayoutVars>
      </dgm:prSet>
      <dgm:spPr/>
    </dgm:pt>
    <dgm:pt modelId="{39EC81EB-5F4E-4930-AE36-27D1D6885AD8}" type="pres">
      <dgm:prSet presAssocID="{33E9EEA0-4202-4F92-AE86-52E831CDD874}" presName="rootComposite" presStyleCnt="0"/>
      <dgm:spPr/>
    </dgm:pt>
    <dgm:pt modelId="{112F6855-1E0E-497F-9415-4D7C4472C93D}" type="pres">
      <dgm:prSet presAssocID="{33E9EEA0-4202-4F92-AE86-52E831CDD874}" presName="rootText" presStyleLbl="node4" presStyleIdx="29" presStyleCnt="37" custScaleY="82645">
        <dgm:presLayoutVars>
          <dgm:chPref val="3"/>
        </dgm:presLayoutVars>
      </dgm:prSet>
      <dgm:spPr/>
    </dgm:pt>
    <dgm:pt modelId="{6CAC3B1C-305E-47E7-8B92-273FC7B1CA31}" type="pres">
      <dgm:prSet presAssocID="{33E9EEA0-4202-4F92-AE86-52E831CDD874}" presName="rootConnector" presStyleLbl="node4" presStyleIdx="29" presStyleCnt="37"/>
      <dgm:spPr/>
    </dgm:pt>
    <dgm:pt modelId="{2989A645-6252-4D72-B460-F5183633E9DF}" type="pres">
      <dgm:prSet presAssocID="{33E9EEA0-4202-4F92-AE86-52E831CDD874}" presName="hierChild4" presStyleCnt="0"/>
      <dgm:spPr/>
    </dgm:pt>
    <dgm:pt modelId="{4ED8BCE5-249B-4361-9CBB-C8B56C2D5483}" type="pres">
      <dgm:prSet presAssocID="{33E9EEA0-4202-4F92-AE86-52E831CDD874}" presName="hierChild5" presStyleCnt="0"/>
      <dgm:spPr/>
    </dgm:pt>
    <dgm:pt modelId="{3C0DD84D-7F97-4752-BC6A-E12A319281CA}" type="pres">
      <dgm:prSet presAssocID="{003EE19F-033D-47B2-8191-7BAA9CF1CCAA}" presName="Name37" presStyleLbl="parChTrans1D4" presStyleIdx="30" presStyleCnt="37"/>
      <dgm:spPr/>
    </dgm:pt>
    <dgm:pt modelId="{408317D8-CD19-4012-8F4B-C4948463D24C}" type="pres">
      <dgm:prSet presAssocID="{543F91C0-2A99-480C-84D5-131E6AC63288}" presName="hierRoot2" presStyleCnt="0">
        <dgm:presLayoutVars>
          <dgm:hierBranch val="init"/>
        </dgm:presLayoutVars>
      </dgm:prSet>
      <dgm:spPr/>
    </dgm:pt>
    <dgm:pt modelId="{1B9814F0-07DA-433B-B86E-282384848BD8}" type="pres">
      <dgm:prSet presAssocID="{543F91C0-2A99-480C-84D5-131E6AC63288}" presName="rootComposite" presStyleCnt="0"/>
      <dgm:spPr/>
    </dgm:pt>
    <dgm:pt modelId="{87B20E20-DE6F-41AC-A975-E6ADA0215070}" type="pres">
      <dgm:prSet presAssocID="{543F91C0-2A99-480C-84D5-131E6AC63288}" presName="rootText" presStyleLbl="node4" presStyleIdx="30" presStyleCnt="37" custScaleY="82645">
        <dgm:presLayoutVars>
          <dgm:chPref val="3"/>
        </dgm:presLayoutVars>
      </dgm:prSet>
      <dgm:spPr/>
    </dgm:pt>
    <dgm:pt modelId="{B077A237-CC79-4C82-9949-ED68A623126F}" type="pres">
      <dgm:prSet presAssocID="{543F91C0-2A99-480C-84D5-131E6AC63288}" presName="rootConnector" presStyleLbl="node4" presStyleIdx="30" presStyleCnt="37"/>
      <dgm:spPr/>
    </dgm:pt>
    <dgm:pt modelId="{3376AFD9-6BD4-4FD6-A2BD-7B478F6810C4}" type="pres">
      <dgm:prSet presAssocID="{543F91C0-2A99-480C-84D5-131E6AC63288}" presName="hierChild4" presStyleCnt="0"/>
      <dgm:spPr/>
    </dgm:pt>
    <dgm:pt modelId="{B7EA40B6-6249-4901-A990-4ECC8F984322}" type="pres">
      <dgm:prSet presAssocID="{543F91C0-2A99-480C-84D5-131E6AC63288}" presName="hierChild5" presStyleCnt="0"/>
      <dgm:spPr/>
    </dgm:pt>
    <dgm:pt modelId="{20C491A5-5C96-48B5-9643-297E691CA654}" type="pres">
      <dgm:prSet presAssocID="{1D1B8B76-6D21-4B49-B3FE-0BB29CB58A29}" presName="hierChild5" presStyleCnt="0"/>
      <dgm:spPr/>
    </dgm:pt>
    <dgm:pt modelId="{4E7DF474-D98D-4BBA-8296-581A75375E2D}" type="pres">
      <dgm:prSet presAssocID="{352884C7-BD6E-4808-9AC7-44B19628E78E}" presName="Name37" presStyleLbl="parChTrans1D3" presStyleIdx="7" presStyleCnt="8"/>
      <dgm:spPr/>
    </dgm:pt>
    <dgm:pt modelId="{CD51B1D0-CF97-4FCC-AACF-641C995590A4}" type="pres">
      <dgm:prSet presAssocID="{14897AD8-34F1-45FF-B898-C4ECCF6F77B1}" presName="hierRoot2" presStyleCnt="0">
        <dgm:presLayoutVars>
          <dgm:hierBranch val="init"/>
        </dgm:presLayoutVars>
      </dgm:prSet>
      <dgm:spPr/>
    </dgm:pt>
    <dgm:pt modelId="{5F28A122-3054-4B65-B13A-15EC1CE2BB5A}" type="pres">
      <dgm:prSet presAssocID="{14897AD8-34F1-45FF-B898-C4ECCF6F77B1}" presName="rootComposite" presStyleCnt="0"/>
      <dgm:spPr/>
    </dgm:pt>
    <dgm:pt modelId="{98D925AB-C35D-47C1-8106-73685D2AC3DE}" type="pres">
      <dgm:prSet presAssocID="{14897AD8-34F1-45FF-B898-C4ECCF6F77B1}" presName="rootText" presStyleLbl="node3" presStyleIdx="7" presStyleCnt="8" custScaleX="132728" custScaleY="82645" custLinFactNeighborY="-4509">
        <dgm:presLayoutVars>
          <dgm:chPref val="3"/>
        </dgm:presLayoutVars>
      </dgm:prSet>
      <dgm:spPr/>
    </dgm:pt>
    <dgm:pt modelId="{5F188937-1ADB-4C9B-AAB8-8DF939C4B96B}" type="pres">
      <dgm:prSet presAssocID="{14897AD8-34F1-45FF-B898-C4ECCF6F77B1}" presName="rootConnector" presStyleLbl="node3" presStyleIdx="7" presStyleCnt="8"/>
      <dgm:spPr/>
    </dgm:pt>
    <dgm:pt modelId="{7DA6053B-9422-42D6-B26D-B549751CE830}" type="pres">
      <dgm:prSet presAssocID="{14897AD8-34F1-45FF-B898-C4ECCF6F77B1}" presName="hierChild4" presStyleCnt="0"/>
      <dgm:spPr/>
    </dgm:pt>
    <dgm:pt modelId="{B870542E-14E2-46AB-99B3-F18ABE97975E}" type="pres">
      <dgm:prSet presAssocID="{43D31BBD-483D-425F-912A-4E240DA2B490}" presName="Name37" presStyleLbl="parChTrans1D4" presStyleIdx="31" presStyleCnt="37"/>
      <dgm:spPr/>
    </dgm:pt>
    <dgm:pt modelId="{70066562-0345-4A0B-909D-76247DB44CDD}" type="pres">
      <dgm:prSet presAssocID="{6FB94F34-8E8D-4403-A4FF-D95CDA90D5D9}" presName="hierRoot2" presStyleCnt="0">
        <dgm:presLayoutVars>
          <dgm:hierBranch val="init"/>
        </dgm:presLayoutVars>
      </dgm:prSet>
      <dgm:spPr/>
    </dgm:pt>
    <dgm:pt modelId="{3A6CDC16-2911-436B-92FF-F8728F7F2254}" type="pres">
      <dgm:prSet presAssocID="{6FB94F34-8E8D-4403-A4FF-D95CDA90D5D9}" presName="rootComposite" presStyleCnt="0"/>
      <dgm:spPr/>
    </dgm:pt>
    <dgm:pt modelId="{9FE226CE-1DB4-4543-8B51-C27A1A1F37EA}" type="pres">
      <dgm:prSet presAssocID="{6FB94F34-8E8D-4403-A4FF-D95CDA90D5D9}" presName="rootText" presStyleLbl="node4" presStyleIdx="31" presStyleCnt="37" custScaleY="82645">
        <dgm:presLayoutVars>
          <dgm:chPref val="3"/>
        </dgm:presLayoutVars>
      </dgm:prSet>
      <dgm:spPr/>
    </dgm:pt>
    <dgm:pt modelId="{F98AAA3D-796E-42A6-AD36-9B55EE4CACDD}" type="pres">
      <dgm:prSet presAssocID="{6FB94F34-8E8D-4403-A4FF-D95CDA90D5D9}" presName="rootConnector" presStyleLbl="node4" presStyleIdx="31" presStyleCnt="37"/>
      <dgm:spPr/>
    </dgm:pt>
    <dgm:pt modelId="{DC9949E5-DE92-453F-8482-F2BEBD4875BA}" type="pres">
      <dgm:prSet presAssocID="{6FB94F34-8E8D-4403-A4FF-D95CDA90D5D9}" presName="hierChild4" presStyleCnt="0"/>
      <dgm:spPr/>
    </dgm:pt>
    <dgm:pt modelId="{1240D037-E28B-42EA-9FA3-51FA0B374027}" type="pres">
      <dgm:prSet presAssocID="{6FB94F34-8E8D-4403-A4FF-D95CDA90D5D9}" presName="hierChild5" presStyleCnt="0"/>
      <dgm:spPr/>
    </dgm:pt>
    <dgm:pt modelId="{368EDAC7-072F-46D8-ABF2-B8FA4E36FA33}" type="pres">
      <dgm:prSet presAssocID="{853754F3-5179-4896-9CCC-49E63DDE4BE2}" presName="Name37" presStyleLbl="parChTrans1D4" presStyleIdx="32" presStyleCnt="37"/>
      <dgm:spPr/>
    </dgm:pt>
    <dgm:pt modelId="{C5C4F8E2-AF12-4A38-9961-F83F4175DF69}" type="pres">
      <dgm:prSet presAssocID="{F0016FBB-3F31-4FF3-95C1-FD5622CAE2FF}" presName="hierRoot2" presStyleCnt="0">
        <dgm:presLayoutVars>
          <dgm:hierBranch val="init"/>
        </dgm:presLayoutVars>
      </dgm:prSet>
      <dgm:spPr/>
    </dgm:pt>
    <dgm:pt modelId="{4362C4BA-827B-4FB1-92C3-633315F9D207}" type="pres">
      <dgm:prSet presAssocID="{F0016FBB-3F31-4FF3-95C1-FD5622CAE2FF}" presName="rootComposite" presStyleCnt="0"/>
      <dgm:spPr/>
    </dgm:pt>
    <dgm:pt modelId="{70AC45AE-CA90-480B-8750-138CD9CC152D}" type="pres">
      <dgm:prSet presAssocID="{F0016FBB-3F31-4FF3-95C1-FD5622CAE2FF}" presName="rootText" presStyleLbl="node4" presStyleIdx="32" presStyleCnt="37" custScaleY="82645">
        <dgm:presLayoutVars>
          <dgm:chPref val="3"/>
        </dgm:presLayoutVars>
      </dgm:prSet>
      <dgm:spPr/>
    </dgm:pt>
    <dgm:pt modelId="{01750666-9CC9-4110-AD60-01D9244A4127}" type="pres">
      <dgm:prSet presAssocID="{F0016FBB-3F31-4FF3-95C1-FD5622CAE2FF}" presName="rootConnector" presStyleLbl="node4" presStyleIdx="32" presStyleCnt="37"/>
      <dgm:spPr/>
    </dgm:pt>
    <dgm:pt modelId="{B50B18D1-5519-4CD5-9F1C-7A1EADE299BE}" type="pres">
      <dgm:prSet presAssocID="{F0016FBB-3F31-4FF3-95C1-FD5622CAE2FF}" presName="hierChild4" presStyleCnt="0"/>
      <dgm:spPr/>
    </dgm:pt>
    <dgm:pt modelId="{BF393A8F-526C-4607-8EB5-D8E26B8827C7}" type="pres">
      <dgm:prSet presAssocID="{F0016FBB-3F31-4FF3-95C1-FD5622CAE2FF}" presName="hierChild5" presStyleCnt="0"/>
      <dgm:spPr/>
    </dgm:pt>
    <dgm:pt modelId="{CE701833-6097-4DCC-970F-7AE8A1CD0773}" type="pres">
      <dgm:prSet presAssocID="{F0A9F6DB-A876-4FE5-A68F-7ADC46691621}" presName="Name37" presStyleLbl="parChTrans1D4" presStyleIdx="33" presStyleCnt="37"/>
      <dgm:spPr/>
    </dgm:pt>
    <dgm:pt modelId="{CF3B41A4-6B12-4310-AD72-3FFD606A0857}" type="pres">
      <dgm:prSet presAssocID="{236C64A2-290F-46AD-8694-B33DC2DEFE0A}" presName="hierRoot2" presStyleCnt="0">
        <dgm:presLayoutVars>
          <dgm:hierBranch val="init"/>
        </dgm:presLayoutVars>
      </dgm:prSet>
      <dgm:spPr/>
    </dgm:pt>
    <dgm:pt modelId="{70C447AD-523E-4F6B-A21D-8278DDF36BAD}" type="pres">
      <dgm:prSet presAssocID="{236C64A2-290F-46AD-8694-B33DC2DEFE0A}" presName="rootComposite" presStyleCnt="0"/>
      <dgm:spPr/>
    </dgm:pt>
    <dgm:pt modelId="{102BBEA8-059E-4C24-B3C6-D23C614A429D}" type="pres">
      <dgm:prSet presAssocID="{236C64A2-290F-46AD-8694-B33DC2DEFE0A}" presName="rootText" presStyleLbl="node4" presStyleIdx="33" presStyleCnt="37" custScaleY="82645">
        <dgm:presLayoutVars>
          <dgm:chPref val="3"/>
        </dgm:presLayoutVars>
      </dgm:prSet>
      <dgm:spPr/>
    </dgm:pt>
    <dgm:pt modelId="{0390CE1B-A918-4A9F-B02F-DC604A4DB78E}" type="pres">
      <dgm:prSet presAssocID="{236C64A2-290F-46AD-8694-B33DC2DEFE0A}" presName="rootConnector" presStyleLbl="node4" presStyleIdx="33" presStyleCnt="37"/>
      <dgm:spPr/>
    </dgm:pt>
    <dgm:pt modelId="{8C43A267-038B-4A0A-A937-A213CF85DDB0}" type="pres">
      <dgm:prSet presAssocID="{236C64A2-290F-46AD-8694-B33DC2DEFE0A}" presName="hierChild4" presStyleCnt="0"/>
      <dgm:spPr/>
    </dgm:pt>
    <dgm:pt modelId="{8B1CA1D1-4EEE-41BB-92B6-630440C2EDB3}" type="pres">
      <dgm:prSet presAssocID="{236C64A2-290F-46AD-8694-B33DC2DEFE0A}" presName="hierChild5" presStyleCnt="0"/>
      <dgm:spPr/>
    </dgm:pt>
    <dgm:pt modelId="{47784190-21D1-4F73-9404-980DCC576367}" type="pres">
      <dgm:prSet presAssocID="{3854F94D-059C-4E95-9219-9143D2EBF524}" presName="Name37" presStyleLbl="parChTrans1D4" presStyleIdx="34" presStyleCnt="37"/>
      <dgm:spPr/>
    </dgm:pt>
    <dgm:pt modelId="{2C4E519D-67BE-4A66-B545-0E87FFDA2673}" type="pres">
      <dgm:prSet presAssocID="{49693103-0A52-4ED7-BCB3-5BDB07D60093}" presName="hierRoot2" presStyleCnt="0">
        <dgm:presLayoutVars>
          <dgm:hierBranch val="init"/>
        </dgm:presLayoutVars>
      </dgm:prSet>
      <dgm:spPr/>
    </dgm:pt>
    <dgm:pt modelId="{27FFFF76-6DA5-49E1-B2D0-6C7DDA1DEC70}" type="pres">
      <dgm:prSet presAssocID="{49693103-0A52-4ED7-BCB3-5BDB07D60093}" presName="rootComposite" presStyleCnt="0"/>
      <dgm:spPr/>
    </dgm:pt>
    <dgm:pt modelId="{7293EB14-24DB-46B6-87E4-1E172FF86BCA}" type="pres">
      <dgm:prSet presAssocID="{49693103-0A52-4ED7-BCB3-5BDB07D60093}" presName="rootText" presStyleLbl="node4" presStyleIdx="34" presStyleCnt="37" custScaleY="82645">
        <dgm:presLayoutVars>
          <dgm:chPref val="3"/>
        </dgm:presLayoutVars>
      </dgm:prSet>
      <dgm:spPr/>
    </dgm:pt>
    <dgm:pt modelId="{1AFE711F-76FC-4C40-A58E-B3507CA3675A}" type="pres">
      <dgm:prSet presAssocID="{49693103-0A52-4ED7-BCB3-5BDB07D60093}" presName="rootConnector" presStyleLbl="node4" presStyleIdx="34" presStyleCnt="37"/>
      <dgm:spPr/>
    </dgm:pt>
    <dgm:pt modelId="{CA9FCD87-945C-461B-B121-72D523BB3097}" type="pres">
      <dgm:prSet presAssocID="{49693103-0A52-4ED7-BCB3-5BDB07D60093}" presName="hierChild4" presStyleCnt="0"/>
      <dgm:spPr/>
    </dgm:pt>
    <dgm:pt modelId="{428A8C72-A3C2-48C1-B93C-1C4812C7CB2B}" type="pres">
      <dgm:prSet presAssocID="{49693103-0A52-4ED7-BCB3-5BDB07D60093}" presName="hierChild5" presStyleCnt="0"/>
      <dgm:spPr/>
    </dgm:pt>
    <dgm:pt modelId="{3A3AD101-360F-4C41-B026-255081C7BF83}" type="pres">
      <dgm:prSet presAssocID="{CC770B51-AE55-4BCE-B849-3388ACF88B02}" presName="Name37" presStyleLbl="parChTrans1D4" presStyleIdx="35" presStyleCnt="37"/>
      <dgm:spPr/>
    </dgm:pt>
    <dgm:pt modelId="{AF3E22B0-26EF-452E-9A8E-CC6DC831464A}" type="pres">
      <dgm:prSet presAssocID="{2D9038CC-E08B-4206-B3F9-3D0B0CAD45B4}" presName="hierRoot2" presStyleCnt="0">
        <dgm:presLayoutVars>
          <dgm:hierBranch val="init"/>
        </dgm:presLayoutVars>
      </dgm:prSet>
      <dgm:spPr/>
    </dgm:pt>
    <dgm:pt modelId="{E01EF690-EB1E-4CC4-ACAE-CF13DF00BD31}" type="pres">
      <dgm:prSet presAssocID="{2D9038CC-E08B-4206-B3F9-3D0B0CAD45B4}" presName="rootComposite" presStyleCnt="0"/>
      <dgm:spPr/>
    </dgm:pt>
    <dgm:pt modelId="{7097C3D2-CB53-4B54-866C-CC4AE4FEAE1D}" type="pres">
      <dgm:prSet presAssocID="{2D9038CC-E08B-4206-B3F9-3D0B0CAD45B4}" presName="rootText" presStyleLbl="node4" presStyleIdx="35" presStyleCnt="37" custScaleY="82645">
        <dgm:presLayoutVars>
          <dgm:chPref val="3"/>
        </dgm:presLayoutVars>
      </dgm:prSet>
      <dgm:spPr/>
    </dgm:pt>
    <dgm:pt modelId="{040C64EA-5A1B-4DDC-BE1D-C35026736F5C}" type="pres">
      <dgm:prSet presAssocID="{2D9038CC-E08B-4206-B3F9-3D0B0CAD45B4}" presName="rootConnector" presStyleLbl="node4" presStyleIdx="35" presStyleCnt="37"/>
      <dgm:spPr/>
    </dgm:pt>
    <dgm:pt modelId="{C0BD3618-7B57-4571-8D71-EF56434C103E}" type="pres">
      <dgm:prSet presAssocID="{2D9038CC-E08B-4206-B3F9-3D0B0CAD45B4}" presName="hierChild4" presStyleCnt="0"/>
      <dgm:spPr/>
    </dgm:pt>
    <dgm:pt modelId="{456F2238-DAEB-45DD-82BD-34CE8F41F439}" type="pres">
      <dgm:prSet presAssocID="{2D9038CC-E08B-4206-B3F9-3D0B0CAD45B4}" presName="hierChild5" presStyleCnt="0"/>
      <dgm:spPr/>
    </dgm:pt>
    <dgm:pt modelId="{8D68BC4D-2482-4FBF-9A52-44F176EEF186}" type="pres">
      <dgm:prSet presAssocID="{99F3D899-E589-4363-B042-C72BF417E000}" presName="Name37" presStyleLbl="parChTrans1D4" presStyleIdx="36" presStyleCnt="37"/>
      <dgm:spPr/>
    </dgm:pt>
    <dgm:pt modelId="{0D62EC93-556D-4E3B-B3FC-9ED02EC21195}" type="pres">
      <dgm:prSet presAssocID="{23E77321-1DBA-4992-9408-DD6298BB1666}" presName="hierRoot2" presStyleCnt="0">
        <dgm:presLayoutVars>
          <dgm:hierBranch val="init"/>
        </dgm:presLayoutVars>
      </dgm:prSet>
      <dgm:spPr/>
    </dgm:pt>
    <dgm:pt modelId="{FF7BCD8D-EBD4-4544-8D7C-749CDD0FD54F}" type="pres">
      <dgm:prSet presAssocID="{23E77321-1DBA-4992-9408-DD6298BB1666}" presName="rootComposite" presStyleCnt="0"/>
      <dgm:spPr/>
    </dgm:pt>
    <dgm:pt modelId="{FEDC1200-0111-4825-B09F-FC7CB3E8647D}" type="pres">
      <dgm:prSet presAssocID="{23E77321-1DBA-4992-9408-DD6298BB1666}" presName="rootText" presStyleLbl="node4" presStyleIdx="36" presStyleCnt="37" custScaleY="82645">
        <dgm:presLayoutVars>
          <dgm:chPref val="3"/>
        </dgm:presLayoutVars>
      </dgm:prSet>
      <dgm:spPr/>
    </dgm:pt>
    <dgm:pt modelId="{0E1801E3-C936-4327-B108-BB2CFB15DFAA}" type="pres">
      <dgm:prSet presAssocID="{23E77321-1DBA-4992-9408-DD6298BB1666}" presName="rootConnector" presStyleLbl="node4" presStyleIdx="36" presStyleCnt="37"/>
      <dgm:spPr/>
    </dgm:pt>
    <dgm:pt modelId="{8DB5A61D-BA4C-4766-9551-291F04D103DB}" type="pres">
      <dgm:prSet presAssocID="{23E77321-1DBA-4992-9408-DD6298BB1666}" presName="hierChild4" presStyleCnt="0"/>
      <dgm:spPr/>
    </dgm:pt>
    <dgm:pt modelId="{FF8F4D13-5073-4537-BD3F-1FAEE158BE57}" type="pres">
      <dgm:prSet presAssocID="{23E77321-1DBA-4992-9408-DD6298BB1666}" presName="hierChild5" presStyleCnt="0"/>
      <dgm:spPr/>
    </dgm:pt>
    <dgm:pt modelId="{6A04AEA1-519D-48C9-94DD-C79E1194F4FA}" type="pres">
      <dgm:prSet presAssocID="{14897AD8-34F1-45FF-B898-C4ECCF6F77B1}" presName="hierChild5" presStyleCnt="0"/>
      <dgm:spPr/>
    </dgm:pt>
    <dgm:pt modelId="{EB1E63A1-FF88-47B6-BFF9-FF7BD167F3C0}" type="pres">
      <dgm:prSet presAssocID="{E29E5C84-A25E-4526-AC07-B81EFEAF4EC4}" presName="hierChild5" presStyleCnt="0"/>
      <dgm:spPr/>
    </dgm:pt>
    <dgm:pt modelId="{9CA69B82-1A52-453B-BC63-7F13F9F095E8}" type="pres">
      <dgm:prSet presAssocID="{F0099887-15D3-45D3-AB54-30AEFEA389D2}" presName="hierChild3" presStyleCnt="0"/>
      <dgm:spPr/>
    </dgm:pt>
  </dgm:ptLst>
  <dgm:cxnLst>
    <dgm:cxn modelId="{30415300-ED27-4B36-8688-A01CCBA05FB2}" type="presOf" srcId="{A312208C-D839-45A5-9CB2-413BC2229699}" destId="{4B8FAE12-19D4-4C4E-862B-4CCDE031A62C}" srcOrd="0" destOrd="0" presId="urn:microsoft.com/office/officeart/2005/8/layout/orgChart1"/>
    <dgm:cxn modelId="{F5509B00-D619-44C6-8BBA-43EC632545FE}" type="presOf" srcId="{415DFF72-198D-45E9-8CDC-10051DA61274}" destId="{5EA8C2E0-C30E-46FD-A07E-7C52DB3B6FA2}" srcOrd="0" destOrd="0" presId="urn:microsoft.com/office/officeart/2005/8/layout/orgChart1"/>
    <dgm:cxn modelId="{085DD300-1A27-4A7B-968F-4BE568FB2215}" type="presOf" srcId="{0384E339-1ACD-4BC4-AD09-A8CA51DE7DC7}" destId="{D917566D-6505-4236-8F4D-2773908C664B}" srcOrd="0" destOrd="0" presId="urn:microsoft.com/office/officeart/2005/8/layout/orgChart1"/>
    <dgm:cxn modelId="{8F089401-595F-4696-ADE7-558CB8666924}" type="presOf" srcId="{A7878F06-5877-4A04-8C37-B9CE462940DA}" destId="{6E277A6C-BB40-47AF-92E1-D8B684F30605}" srcOrd="0" destOrd="0" presId="urn:microsoft.com/office/officeart/2005/8/layout/orgChart1"/>
    <dgm:cxn modelId="{1EEDFF06-F91C-4D56-AD5C-BDEBF7591A46}" srcId="{A7878F06-5877-4A04-8C37-B9CE462940DA}" destId="{65F6E853-1EE3-4A82-BB4E-9408BE3F71DE}" srcOrd="2" destOrd="0" parTransId="{22E69B5C-2E62-44B6-B471-7CE2F0B3E417}" sibTransId="{40BAD80B-9A91-4B6D-8D76-61165FFF9FDF}"/>
    <dgm:cxn modelId="{BFA9EE08-DE63-4CEE-A84F-CE20002E83BF}" type="presOf" srcId="{E29E5C84-A25E-4526-AC07-B81EFEAF4EC4}" destId="{145302FE-192E-4D67-A128-CB82735937E1}" srcOrd="0" destOrd="0" presId="urn:microsoft.com/office/officeart/2005/8/layout/orgChart1"/>
    <dgm:cxn modelId="{F21F6909-FDB8-4628-83F7-07043A9526CA}" type="presOf" srcId="{D80D808F-B161-413F-AA96-4ABECE658F93}" destId="{97EE81ED-71AC-4A93-9720-080A9F5AC8F1}" srcOrd="0" destOrd="0" presId="urn:microsoft.com/office/officeart/2005/8/layout/orgChart1"/>
    <dgm:cxn modelId="{B052190B-9B49-4A2A-B60A-F547BC8AF752}" type="presOf" srcId="{3D48A6CE-2D76-4F2F-A23C-13DFC9BE684B}" destId="{0339D3B9-1F4C-48F7-893E-19C7F15D834F}" srcOrd="1" destOrd="0" presId="urn:microsoft.com/office/officeart/2005/8/layout/orgChart1"/>
    <dgm:cxn modelId="{4E5B1E0B-F602-4792-81AA-A54724A166EF}" type="presOf" srcId="{0B9972C5-D9C7-41C0-BDA4-F67718C3DFE7}" destId="{AE95CDFA-675A-43B4-82AC-EA4BBF8C7C64}" srcOrd="0" destOrd="0" presId="urn:microsoft.com/office/officeart/2005/8/layout/orgChart1"/>
    <dgm:cxn modelId="{4F52A30B-13D7-45C0-A88F-0CDB20FA74C7}" type="presOf" srcId="{49693103-0A52-4ED7-BCB3-5BDB07D60093}" destId="{1AFE711F-76FC-4C40-A58E-B3507CA3675A}" srcOrd="1" destOrd="0" presId="urn:microsoft.com/office/officeart/2005/8/layout/orgChart1"/>
    <dgm:cxn modelId="{317FDF0D-3B92-43D6-AA12-C8D5E4752ABE}" srcId="{E29E5C84-A25E-4526-AC07-B81EFEAF4EC4}" destId="{1D1B8B76-6D21-4B49-B3FE-0BB29CB58A29}" srcOrd="2" destOrd="0" parTransId="{415DFF72-198D-45E9-8CDC-10051DA61274}" sibTransId="{E9703A75-A58F-4BD1-840E-73DFAA89E247}"/>
    <dgm:cxn modelId="{0395440E-B584-4104-9517-6432D3E44379}" type="presOf" srcId="{7196EC7F-FD16-45B0-BE2A-DA56699DA492}" destId="{4CFB6EF5-80F8-4E2A-B950-6A7BE13203E9}" srcOrd="1" destOrd="0" presId="urn:microsoft.com/office/officeart/2005/8/layout/orgChart1"/>
    <dgm:cxn modelId="{8561400F-382B-4CC4-8CC0-1BC970D8D359}" srcId="{1D1B8B76-6D21-4B49-B3FE-0BB29CB58A29}" destId="{A834424E-8BBE-44F3-AB45-5236423699CE}" srcOrd="2" destOrd="0" parTransId="{4C8136DE-0B50-405A-B9A8-F66D7A134F14}" sibTransId="{F2E3EE57-0411-40BA-BD5E-7EEE74C45266}"/>
    <dgm:cxn modelId="{AE59CD12-E534-4AA8-BA52-565561EDBDA4}" type="presOf" srcId="{87808678-A671-475E-AF31-49E04FE77663}" destId="{55B194FE-4CA4-42CA-926C-EB9B8A79C867}" srcOrd="0" destOrd="0" presId="urn:microsoft.com/office/officeart/2005/8/layout/orgChart1"/>
    <dgm:cxn modelId="{0D3A3C13-52D6-4871-AE2F-10C10174B6BE}" type="presOf" srcId="{6FB94F34-8E8D-4403-A4FF-D95CDA90D5D9}" destId="{F98AAA3D-796E-42A6-AD36-9B55EE4CACDD}" srcOrd="1" destOrd="0" presId="urn:microsoft.com/office/officeart/2005/8/layout/orgChart1"/>
    <dgm:cxn modelId="{72744914-0F6C-4C05-ABA8-DE6114070D8E}" type="presOf" srcId="{33E9EEA0-4202-4F92-AE86-52E831CDD874}" destId="{6CAC3B1C-305E-47E7-8B92-273FC7B1CA31}" srcOrd="1" destOrd="0" presId="urn:microsoft.com/office/officeart/2005/8/layout/orgChart1"/>
    <dgm:cxn modelId="{8B49F217-FE88-410D-B087-250915FB4C77}" srcId="{E1F4F594-4646-4DC7-897F-DD5DC1AAD81D}" destId="{2A8E8F01-53D7-4466-ADD2-2D3E140F6BA1}" srcOrd="1" destOrd="0" parTransId="{0384E339-1ACD-4BC4-AD09-A8CA51DE7DC7}" sibTransId="{27C1A789-4B3B-49BF-BA0D-D58161168473}"/>
    <dgm:cxn modelId="{50DFFD19-172C-4EAF-BD36-82238E662561}" type="presOf" srcId="{8FDE9346-7471-48C1-ABB0-987F9D56D9D6}" destId="{4239DA5A-5717-41B8-9618-63C6A3FB60AA}" srcOrd="1" destOrd="0" presId="urn:microsoft.com/office/officeart/2005/8/layout/orgChart1"/>
    <dgm:cxn modelId="{5EE2FF19-3D31-4AA1-A5C2-9A05CECCF8E1}" srcId="{2A8E8F01-53D7-4466-ADD2-2D3E140F6BA1}" destId="{60765FD2-5ACA-4427-8ADC-0C3FC86ED222}" srcOrd="0" destOrd="0" parTransId="{3DE97EB0-E245-4C18-9660-E902E4639B51}" sibTransId="{B4380479-A4A1-49C0-BDF4-67B303A56E5B}"/>
    <dgm:cxn modelId="{F591E41C-9D22-4286-9B5D-69498868324A}" type="presOf" srcId="{7C51B67D-3EC3-45F3-A058-5097FF033899}" destId="{D08B1808-4605-44EE-AC96-26FD2C104552}" srcOrd="0" destOrd="0" presId="urn:microsoft.com/office/officeart/2005/8/layout/orgChart1"/>
    <dgm:cxn modelId="{A87E161D-624A-44EE-B878-05DA95CB8186}" srcId="{E29E5C84-A25E-4526-AC07-B81EFEAF4EC4}" destId="{87808678-A671-475E-AF31-49E04FE77663}" srcOrd="1" destOrd="0" parTransId="{E96AAEDA-FE95-491D-95C5-984DDBE23987}" sibTransId="{D92C009D-76EF-4F09-8E95-06A6CA6A3B69}"/>
    <dgm:cxn modelId="{BAF44A1D-4B68-46DA-8EA9-74D9E5D7B40F}" type="presOf" srcId="{65F6E853-1EE3-4A82-BB4E-9408BE3F71DE}" destId="{63980A6B-0054-4709-8FAE-6A2472C3F2C9}" srcOrd="1" destOrd="0" presId="urn:microsoft.com/office/officeart/2005/8/layout/orgChart1"/>
    <dgm:cxn modelId="{6032DC1E-72A6-427E-94A5-1C27404C150D}" type="presOf" srcId="{9030327D-25F6-45AA-BBCF-98B66A5F6CD7}" destId="{B30386BF-4EF7-4774-96E4-587DB6B9B081}" srcOrd="0" destOrd="0" presId="urn:microsoft.com/office/officeart/2005/8/layout/orgChart1"/>
    <dgm:cxn modelId="{299A1C1F-D50D-407D-AF4E-806A57E1C750}" type="presOf" srcId="{E96AAEDA-FE95-491D-95C5-984DDBE23987}" destId="{FD27F35D-0079-4789-9149-18713D15AEBF}" srcOrd="0" destOrd="0" presId="urn:microsoft.com/office/officeart/2005/8/layout/orgChart1"/>
    <dgm:cxn modelId="{0B49D01F-8C51-48FB-8787-41AA1E11ADE1}" type="presOf" srcId="{40401FAB-9ED2-45C8-A059-202163F512DF}" destId="{6878A38C-C478-465C-A2C4-06A1876DFDAA}" srcOrd="0" destOrd="0" presId="urn:microsoft.com/office/officeart/2005/8/layout/orgChart1"/>
    <dgm:cxn modelId="{F3CE6020-A90A-4517-AABC-D7B0F2F95FF2}" type="presOf" srcId="{B2444568-1380-4166-8780-CA6D34331087}" destId="{2755D37C-B7FF-4C97-9798-D8F8D2E510DC}" srcOrd="0" destOrd="0" presId="urn:microsoft.com/office/officeart/2005/8/layout/orgChart1"/>
    <dgm:cxn modelId="{89E0DA22-99FD-44EE-98BF-33D77CAA3CD5}" type="presOf" srcId="{9D9A8D77-30E2-4188-91DA-23298310B5D7}" destId="{1A6B1E92-BAC0-4F4B-933B-5174B68264CD}" srcOrd="1" destOrd="0" presId="urn:microsoft.com/office/officeart/2005/8/layout/orgChart1"/>
    <dgm:cxn modelId="{0A624023-1AD9-4B02-B924-3FCC401FE88D}" srcId="{1D1B8B76-6D21-4B49-B3FE-0BB29CB58A29}" destId="{543F91C0-2A99-480C-84D5-131E6AC63288}" srcOrd="4" destOrd="0" parTransId="{003EE19F-033D-47B2-8191-7BAA9CF1CCAA}" sibTransId="{3F2A5253-62F9-494F-B27F-4CB7E146E341}"/>
    <dgm:cxn modelId="{1658EF26-661C-421F-8D7E-859212E77B13}" srcId="{2A8E8F01-53D7-4466-ADD2-2D3E140F6BA1}" destId="{E7CCBC15-826E-456A-B23F-2244AA78CFCA}" srcOrd="1" destOrd="0" parTransId="{1DAB7846-2B48-4259-9592-16E8D0923BE2}" sibTransId="{E1F4A86A-C4E5-47B3-80EB-4995ABDCE0BB}"/>
    <dgm:cxn modelId="{CE908828-E721-4845-8E4C-E57BB5A9FAEB}" type="presOf" srcId="{D748E4A4-276A-49B0-A971-36DE50F67E10}" destId="{70B28074-65EB-4E80-80F2-ED870366EAA1}" srcOrd="1" destOrd="0" presId="urn:microsoft.com/office/officeart/2005/8/layout/orgChart1"/>
    <dgm:cxn modelId="{2900CC28-483A-4104-95FF-37458FB7384C}" type="presOf" srcId="{236C64A2-290F-46AD-8694-B33DC2DEFE0A}" destId="{102BBEA8-059E-4C24-B3C6-D23C614A429D}" srcOrd="0" destOrd="0" presId="urn:microsoft.com/office/officeart/2005/8/layout/orgChart1"/>
    <dgm:cxn modelId="{AD9C1A2D-4CDB-4C48-81AC-D8696DD3DEEF}" type="presOf" srcId="{5B3705C8-4447-459F-8152-B38235050BF8}" destId="{4F24D2CA-ABF8-4074-90F1-D971C6D06586}" srcOrd="1" destOrd="0" presId="urn:microsoft.com/office/officeart/2005/8/layout/orgChart1"/>
    <dgm:cxn modelId="{6620C22D-9D04-44A4-8E68-4AF626BBCBCD}" type="presOf" srcId="{8FDE9346-7471-48C1-ABB0-987F9D56D9D6}" destId="{00A75874-4201-47A0-ADA7-0D5A9257D78B}" srcOrd="0" destOrd="0" presId="urn:microsoft.com/office/officeart/2005/8/layout/orgChart1"/>
    <dgm:cxn modelId="{9810152F-F24A-4B5A-ABC7-B032343CCA69}" type="presOf" srcId="{B57D9A7B-4976-4B9D-8894-30B5C68DDDE4}" destId="{8C29E694-4982-42F4-BF89-D86DD6716899}" srcOrd="0" destOrd="0" presId="urn:microsoft.com/office/officeart/2005/8/layout/orgChart1"/>
    <dgm:cxn modelId="{BAA0DC2F-57AD-4D71-8A26-02D156E08EC0}" type="presOf" srcId="{1C799DAB-C819-4008-9F60-BBB9E87BD8B4}" destId="{74B7CBFD-50A9-4F45-9591-C11F9568732E}" srcOrd="0" destOrd="0" presId="urn:microsoft.com/office/officeart/2005/8/layout/orgChart1"/>
    <dgm:cxn modelId="{C1660A30-19E3-4924-A93C-ED575ADBF6CE}" type="presOf" srcId="{F0016FBB-3F31-4FF3-95C1-FD5622CAE2FF}" destId="{70AC45AE-CA90-480B-8750-138CD9CC152D}" srcOrd="0" destOrd="0" presId="urn:microsoft.com/office/officeart/2005/8/layout/orgChart1"/>
    <dgm:cxn modelId="{9D88ED30-3C7F-443C-B51F-D9E8A0031A63}" type="presOf" srcId="{3D48A6CE-2D76-4F2F-A23C-13DFC9BE684B}" destId="{3F19BEEA-2972-4C60-A481-706E29604547}" srcOrd="0" destOrd="0" presId="urn:microsoft.com/office/officeart/2005/8/layout/orgChart1"/>
    <dgm:cxn modelId="{C7667C33-14DE-410D-AE44-BDE115E1B628}" type="presOf" srcId="{9C793535-AAE9-4525-8F32-D025EF0EB953}" destId="{DF6AADC5-D1E7-4A2D-923F-361736AB23A5}" srcOrd="0" destOrd="0" presId="urn:microsoft.com/office/officeart/2005/8/layout/orgChart1"/>
    <dgm:cxn modelId="{F897B733-1CDA-4DFC-8577-A403DC0AB423}" type="presOf" srcId="{3DE97EB0-E245-4C18-9660-E902E4639B51}" destId="{B6311F4C-13F6-4F71-8297-F13364EEF3B9}" srcOrd="0" destOrd="0" presId="urn:microsoft.com/office/officeart/2005/8/layout/orgChart1"/>
    <dgm:cxn modelId="{22FA3E34-9A18-4E09-B300-2E0FE9B77F92}" srcId="{E1F4F594-4646-4DC7-897F-DD5DC1AAD81D}" destId="{D748E4A4-276A-49B0-A971-36DE50F67E10}" srcOrd="2" destOrd="0" parTransId="{30BC17A7-6714-4179-8197-76256FD65BD0}" sibTransId="{59FDC62D-59A7-408D-93BE-56DAD7A64707}"/>
    <dgm:cxn modelId="{E8EAA234-5F20-46AD-97AD-6AE70A2AEA3D}" srcId="{A7878F06-5877-4A04-8C37-B9CE462940DA}" destId="{B2444568-1380-4166-8780-CA6D34331087}" srcOrd="3" destOrd="0" parTransId="{1C799DAB-C819-4008-9F60-BBB9E87BD8B4}" sibTransId="{739ABAB6-4692-402C-9A68-B39EE030E498}"/>
    <dgm:cxn modelId="{40761035-EFA4-4100-8FC7-2932E2C05438}" srcId="{A7878F06-5877-4A04-8C37-B9CE462940DA}" destId="{336FF252-47EF-4A25-B52C-EECD2AF783EE}" srcOrd="4" destOrd="0" parTransId="{4BA56DC7-2374-4ACE-A095-007F574E3E39}" sibTransId="{2A9DE971-DE45-460B-8A52-55E5C8AF8E00}"/>
    <dgm:cxn modelId="{2C562A36-0F9C-4A56-8EA5-9875697C9738}" type="presOf" srcId="{E29E5C84-A25E-4526-AC07-B81EFEAF4EC4}" destId="{3400DA90-86C9-4E5E-9172-942EF99CFEE0}" srcOrd="1" destOrd="0" presId="urn:microsoft.com/office/officeart/2005/8/layout/orgChart1"/>
    <dgm:cxn modelId="{088B5037-3F9A-47DD-BCB9-AC8FCE4B4A19}" type="presOf" srcId="{FB395539-FD74-4463-8173-95B1B17CBEC0}" destId="{3574D4EE-39C1-4931-80B5-8BF2858B42D7}" srcOrd="0" destOrd="0" presId="urn:microsoft.com/office/officeart/2005/8/layout/orgChart1"/>
    <dgm:cxn modelId="{E7F8D839-1C25-4B54-A2C9-F7E9A7F3DC16}" srcId="{A7878F06-5877-4A04-8C37-B9CE462940DA}" destId="{6252BBB8-3B4F-43A2-A776-FBBB3F2F6AAA}" srcOrd="5" destOrd="0" parTransId="{53857D96-BB93-4331-AB98-979E5BC95AF3}" sibTransId="{9CD8BAFF-0674-4843-8D22-FE9825747F36}"/>
    <dgm:cxn modelId="{E8309E3A-E4C2-4DC8-ACBB-96129ACA765B}" srcId="{D02CB5C2-15A8-4F13-B367-B8CB0CBC99A7}" destId="{F0099887-15D3-45D3-AB54-30AEFEA389D2}" srcOrd="0" destOrd="0" parTransId="{80F11534-6143-4464-8115-B140AB63F8AF}" sibTransId="{ACBBC5F5-00EE-44A5-A6A3-03B17F46D1BC}"/>
    <dgm:cxn modelId="{409A523C-CCD6-4B6F-ADCD-A3DC7AF198B1}" type="presOf" srcId="{D748E4A4-276A-49B0-A971-36DE50F67E10}" destId="{8F47ADB1-00FA-4A31-B539-EEF38657D0C1}" srcOrd="0" destOrd="0" presId="urn:microsoft.com/office/officeart/2005/8/layout/orgChart1"/>
    <dgm:cxn modelId="{D07CFB3F-4584-4CB5-94E7-F8350A8437CE}" type="presOf" srcId="{54FF72C3-93F1-4DC2-B0CC-728799C6D968}" destId="{CA48A81E-83D4-4691-AA83-3073914F9C98}" srcOrd="0" destOrd="0" presId="urn:microsoft.com/office/officeart/2005/8/layout/orgChart1"/>
    <dgm:cxn modelId="{BD3E0A40-6CEA-46DF-B6AA-BD87793E8AAE}" srcId="{70F991E4-7254-4D65-957C-26F95EF3B597}" destId="{5869D9B4-145E-4673-A8F5-822BE4C613F4}" srcOrd="3" destOrd="0" parTransId="{40401FAB-9ED2-45C8-A059-202163F512DF}" sibTransId="{DE28BD27-D9CA-4E63-923A-34D8ED12CCA9}"/>
    <dgm:cxn modelId="{EA1E875B-028A-4190-A98F-F2DDEA58F2C9}" type="presOf" srcId="{4BA56DC7-2374-4ACE-A095-007F574E3E39}" destId="{C4BDA430-3057-4DBA-A47D-8784D72F271B}" srcOrd="0" destOrd="0" presId="urn:microsoft.com/office/officeart/2005/8/layout/orgChart1"/>
    <dgm:cxn modelId="{1628A25C-E792-493B-AA75-A00B804A1F73}" type="presOf" srcId="{4C8136DE-0B50-405A-B9A8-F66D7A134F14}" destId="{7A91D0E8-AD6D-4E30-9B18-342647167BB1}" srcOrd="0" destOrd="0" presId="urn:microsoft.com/office/officeart/2005/8/layout/orgChart1"/>
    <dgm:cxn modelId="{92A9A35C-82F1-4F90-B20F-BF930353B4A4}" srcId="{1D1B8B76-6D21-4B49-B3FE-0BB29CB58A29}" destId="{33E9EEA0-4202-4F92-AE86-52E831CDD874}" srcOrd="3" destOrd="0" parTransId="{5ACF1A68-C049-436E-97A3-1CF69AB915D8}" sibTransId="{6E2FC609-CCA1-4140-9F01-7970F932A319}"/>
    <dgm:cxn modelId="{50DF155D-4020-478E-9900-3682022F6FF9}" type="presOf" srcId="{D2ECD54F-54D4-4681-8029-23E2EDD8358D}" destId="{AD0CE90D-3811-4C4A-AA8C-FF8EDFC59D2A}" srcOrd="0" destOrd="0" presId="urn:microsoft.com/office/officeart/2005/8/layout/orgChart1"/>
    <dgm:cxn modelId="{E7DFED5D-06E7-4C75-B75D-419553BA3DFE}" type="presOf" srcId="{A312208C-D839-45A5-9CB2-413BC2229699}" destId="{0C897CE4-C8C6-44F3-9855-6EFC273BFD9B}" srcOrd="1" destOrd="0" presId="urn:microsoft.com/office/officeart/2005/8/layout/orgChart1"/>
    <dgm:cxn modelId="{BC378E5E-CE6E-4ACC-8A6D-CE8A80AA5030}" type="presOf" srcId="{B3645FE4-99EB-49CA-888A-7F89D3A734A9}" destId="{570867D6-0A65-4BEF-BA4D-404495EF0934}" srcOrd="0" destOrd="0" presId="urn:microsoft.com/office/officeart/2005/8/layout/orgChart1"/>
    <dgm:cxn modelId="{0F8F935E-9922-4CBA-BFCE-95DB5945DBF6}" type="presOf" srcId="{C62CA505-4983-4142-BF53-95334CF57C59}" destId="{CD18D46E-88DE-4992-8A5E-416A364F6987}" srcOrd="0" destOrd="0" presId="urn:microsoft.com/office/officeart/2005/8/layout/orgChart1"/>
    <dgm:cxn modelId="{68224860-D1C9-4F09-A33A-3A39128BF651}" type="presOf" srcId="{2D9038CC-E08B-4206-B3F9-3D0B0CAD45B4}" destId="{040C64EA-5A1B-4DDC-BE1D-C35026736F5C}" srcOrd="1" destOrd="0" presId="urn:microsoft.com/office/officeart/2005/8/layout/orgChart1"/>
    <dgm:cxn modelId="{2F54CF61-03B9-4075-A74C-941CC99C62FD}" type="presOf" srcId="{1DAB7846-2B48-4259-9592-16E8D0923BE2}" destId="{0360C749-D478-42E0-AE61-44CFD142BD07}" srcOrd="0" destOrd="0" presId="urn:microsoft.com/office/officeart/2005/8/layout/orgChart1"/>
    <dgm:cxn modelId="{BE8FDC61-688A-40E2-AA7F-7AFF760FDFB7}" type="presOf" srcId="{E1F4F594-4646-4DC7-897F-DD5DC1AAD81D}" destId="{7AC2D858-473F-47A4-B36A-05B02D0BC482}" srcOrd="1" destOrd="0" presId="urn:microsoft.com/office/officeart/2005/8/layout/orgChart1"/>
    <dgm:cxn modelId="{EDDCE261-1756-443E-8BBB-7522E387800E}" type="presOf" srcId="{65F6E853-1EE3-4A82-BB4E-9408BE3F71DE}" destId="{291B6C9E-C9DF-46F0-AA90-E75BDB4160C0}" srcOrd="0" destOrd="0" presId="urn:microsoft.com/office/officeart/2005/8/layout/orgChart1"/>
    <dgm:cxn modelId="{661AC142-0CC1-4C51-811D-77B2750D91F3}" type="presOf" srcId="{BF2139A9-7750-4947-A7C5-18C839D17192}" destId="{2A38F4F1-A72D-463B-A756-4F1EA2BDC562}" srcOrd="0" destOrd="0" presId="urn:microsoft.com/office/officeart/2005/8/layout/orgChart1"/>
    <dgm:cxn modelId="{8863BC43-8A8E-4B42-9ECF-3E219E71A585}" srcId="{2A8E8F01-53D7-4466-ADD2-2D3E140F6BA1}" destId="{A312208C-D839-45A5-9CB2-413BC2229699}" srcOrd="3" destOrd="0" parTransId="{A84E7AB2-1F3E-4248-94FD-949B677B44A5}" sibTransId="{7FA61ADE-D9F1-4814-8364-84424208FB5C}"/>
    <dgm:cxn modelId="{81301646-878D-4E40-A5C0-B3DFB81FC3E7}" srcId="{F0099887-15D3-45D3-AB54-30AEFEA389D2}" destId="{E29E5C84-A25E-4526-AC07-B81EFEAF4EC4}" srcOrd="1" destOrd="0" parTransId="{9A229108-FAAD-49C7-AFD0-49F1DE20AB0D}" sibTransId="{B501625E-3000-4BBF-999F-7B7A220B04FF}"/>
    <dgm:cxn modelId="{7A5DD467-B94D-48DB-B6CF-B68253A3E7BE}" type="presOf" srcId="{11A31DAE-352E-4BF8-92BF-E24226CA7F1A}" destId="{44B44150-C33E-4298-8711-4EBAB8C1F95F}" srcOrd="1" destOrd="0" presId="urn:microsoft.com/office/officeart/2005/8/layout/orgChart1"/>
    <dgm:cxn modelId="{8B8B6268-CD6C-4334-91E8-49A2E41AA924}" type="presOf" srcId="{5869D9B4-145E-4673-A8F5-822BE4C613F4}" destId="{47C18FCF-589D-4184-A8F7-80147DC4D983}" srcOrd="0" destOrd="0" presId="urn:microsoft.com/office/officeart/2005/8/layout/orgChart1"/>
    <dgm:cxn modelId="{AFC97948-3E24-45DF-BC87-3F2F79C9EF40}" type="presOf" srcId="{C25ABE28-D360-496D-9B6C-ECB26119C58E}" destId="{B4ABF7B0-37D7-4E83-BBA8-438C7CA5693F}" srcOrd="1" destOrd="0" presId="urn:microsoft.com/office/officeart/2005/8/layout/orgChart1"/>
    <dgm:cxn modelId="{6F9CFA68-5B04-4DC0-B269-D99DCA9D1C31}" type="presOf" srcId="{A84E7AB2-1F3E-4248-94FD-949B677B44A5}" destId="{098DB473-CC45-4119-A431-525EE4D7DFFC}" srcOrd="0" destOrd="0" presId="urn:microsoft.com/office/officeart/2005/8/layout/orgChart1"/>
    <dgm:cxn modelId="{09292469-1625-41A9-9634-851C9000E10F}" type="presOf" srcId="{457B79B5-EFE9-420B-A014-B50436A48FB4}" destId="{ABACC641-9DF9-4914-BFFC-2CECE08FCE4C}" srcOrd="1" destOrd="0" presId="urn:microsoft.com/office/officeart/2005/8/layout/orgChart1"/>
    <dgm:cxn modelId="{A40A196A-F14E-4DC4-9261-F59DD32A8EF1}" type="presOf" srcId="{71FF4F9D-D92E-4718-8B2A-B39C727AF537}" destId="{5FFA63E0-79A3-483C-917C-3EFE1E1991FD}" srcOrd="0" destOrd="0" presId="urn:microsoft.com/office/officeart/2005/8/layout/orgChart1"/>
    <dgm:cxn modelId="{E559934A-57C7-4CC2-AF83-164DCADE9ADA}" type="presOf" srcId="{A834424E-8BBE-44F3-AB45-5236423699CE}" destId="{BAE2AAC9-D11B-4592-B7E9-1B057BEC527A}" srcOrd="1" destOrd="0" presId="urn:microsoft.com/office/officeart/2005/8/layout/orgChart1"/>
    <dgm:cxn modelId="{2F450A4C-E970-4A87-AFDF-070A19927010}" type="presOf" srcId="{22E69B5C-2E62-44B6-B471-7CE2F0B3E417}" destId="{E9EA99C5-E131-407D-A12F-307D4CEFCBD0}" srcOrd="0" destOrd="0" presId="urn:microsoft.com/office/officeart/2005/8/layout/orgChart1"/>
    <dgm:cxn modelId="{3B47C84C-4131-4171-9C10-FC6FBD14A052}" type="presOf" srcId="{457B79B5-EFE9-420B-A014-B50436A48FB4}" destId="{9EB29434-4795-43E3-9B5B-1DE77CC5F7CB}" srcOrd="0" destOrd="0" presId="urn:microsoft.com/office/officeart/2005/8/layout/orgChart1"/>
    <dgm:cxn modelId="{2C49766D-B14E-4341-A7F2-7037763C916D}" type="presOf" srcId="{4ACFA607-348B-4159-983B-3D008F2DBA35}" destId="{11DC0A18-B3D5-4C68-AC78-B87FE727FBA6}" srcOrd="0" destOrd="0" presId="urn:microsoft.com/office/officeart/2005/8/layout/orgChart1"/>
    <dgm:cxn modelId="{26B8AA4D-80CE-49FC-9CBA-F09CB0964C46}" type="presOf" srcId="{F0099887-15D3-45D3-AB54-30AEFEA389D2}" destId="{834094A9-3C89-49F6-BB8D-6DAC24759C40}" srcOrd="0" destOrd="0" presId="urn:microsoft.com/office/officeart/2005/8/layout/orgChart1"/>
    <dgm:cxn modelId="{112CCD4D-B24B-49CF-9E29-74F502EE1990}" type="presOf" srcId="{C25ABE28-D360-496D-9B6C-ECB26119C58E}" destId="{B9FD17EE-61BE-4D39-9038-AD631FF54516}" srcOrd="0" destOrd="0" presId="urn:microsoft.com/office/officeart/2005/8/layout/orgChart1"/>
    <dgm:cxn modelId="{36EB234E-BCC5-4C0D-9C2C-5766AFED02D2}" srcId="{1D1B8B76-6D21-4B49-B3FE-0BB29CB58A29}" destId="{90281C54-0751-4A4D-8C2E-8108CCA18992}" srcOrd="1" destOrd="0" parTransId="{D3919E75-DAAE-47ED-90DB-C033769C37DC}" sibTransId="{17032F8E-B65D-4C35-9F75-76490D0E3A42}"/>
    <dgm:cxn modelId="{D80C264E-4744-4DBA-87CB-0F1F1249FBA5}" type="presOf" srcId="{9A229108-FAAD-49C7-AFD0-49F1DE20AB0D}" destId="{61651D26-FC8C-4FB1-B956-E1C38AC9D1CE}" srcOrd="0" destOrd="0" presId="urn:microsoft.com/office/officeart/2005/8/layout/orgChart1"/>
    <dgm:cxn modelId="{BF97594F-DFED-4B1F-B4F8-C6E8B06627AA}" type="presOf" srcId="{5ACF1A68-C049-436E-97A3-1CF69AB915D8}" destId="{5AC5B411-D156-4AF3-9A31-07881E460FBE}" srcOrd="0" destOrd="0" presId="urn:microsoft.com/office/officeart/2005/8/layout/orgChart1"/>
    <dgm:cxn modelId="{58BAA371-9B75-4A4E-B69C-E2D0E3B20024}" type="presOf" srcId="{7C51B67D-3EC3-45F3-A058-5097FF033899}" destId="{E82F516F-1CDB-4469-9EDC-6F99AC26BA60}" srcOrd="1" destOrd="0" presId="urn:microsoft.com/office/officeart/2005/8/layout/orgChart1"/>
    <dgm:cxn modelId="{68739072-6218-4D4F-AD22-B2A63893BC54}" srcId="{7C51B67D-3EC3-45F3-A058-5097FF033899}" destId="{FB395539-FD74-4463-8173-95B1B17CBEC0}" srcOrd="3" destOrd="0" parTransId="{D80D808F-B161-413F-AA96-4ABECE658F93}" sibTransId="{07A00498-77CA-48B0-9961-D90F4E970E2B}"/>
    <dgm:cxn modelId="{AEE60553-A1D5-49DA-8170-806D7A133DCC}" type="presOf" srcId="{352884C7-BD6E-4808-9AC7-44B19628E78E}" destId="{4E7DF474-D98D-4BBA-8296-581A75375E2D}" srcOrd="0" destOrd="0" presId="urn:microsoft.com/office/officeart/2005/8/layout/orgChart1"/>
    <dgm:cxn modelId="{9E211973-C561-4B88-9B3B-5ECDA9300A56}" type="presOf" srcId="{5B3705C8-4447-459F-8152-B38235050BF8}" destId="{565668DF-700F-4C21-BFE1-61679F60C467}" srcOrd="0" destOrd="0" presId="urn:microsoft.com/office/officeart/2005/8/layout/orgChart1"/>
    <dgm:cxn modelId="{59B1C453-C1AC-4DF8-AA06-DF32724BA060}" type="presOf" srcId="{0B9972C5-D9C7-41C0-BDA4-F67718C3DFE7}" destId="{F735D1C0-9945-4893-989C-404C3D9B7043}" srcOrd="1" destOrd="0" presId="urn:microsoft.com/office/officeart/2005/8/layout/orgChart1"/>
    <dgm:cxn modelId="{94E4FA53-0572-4932-A329-CC0FEAC48B94}" srcId="{2A8E8F01-53D7-4466-ADD2-2D3E140F6BA1}" destId="{B7A6ACAB-50D6-4E51-A191-88EB499C56B4}" srcOrd="2" destOrd="0" parTransId="{849E17B0-E492-4847-A6D7-3A0680ECC2AB}" sibTransId="{E7F0ABAA-0FCF-4B3F-9882-3809DE141368}"/>
    <dgm:cxn modelId="{F34E0C55-81B1-47A3-B870-C9B587F24807}" type="presOf" srcId="{53857D96-BB93-4331-AB98-979E5BC95AF3}" destId="{F2EB8D95-A557-4B52-96DC-E79DEE05A683}" srcOrd="0" destOrd="0" presId="urn:microsoft.com/office/officeart/2005/8/layout/orgChart1"/>
    <dgm:cxn modelId="{2DE1BC55-18C4-436F-B490-6F9D7E0D3843}" srcId="{70F991E4-7254-4D65-957C-26F95EF3B597}" destId="{7196EC7F-FD16-45B0-BE2A-DA56699DA492}" srcOrd="0" destOrd="0" parTransId="{52E1643A-3ECD-436E-A5EC-163390F39E85}" sibTransId="{4D316F71-1492-423D-91D6-8444BCDB7B67}"/>
    <dgm:cxn modelId="{55F8C477-C2B5-4DC2-BCA2-5D8FB2CCEDA6}" type="presOf" srcId="{236C64A2-290F-46AD-8694-B33DC2DEFE0A}" destId="{0390CE1B-A918-4A9F-B02F-DC604A4DB78E}" srcOrd="1" destOrd="0" presId="urn:microsoft.com/office/officeart/2005/8/layout/orgChart1"/>
    <dgm:cxn modelId="{0DFDDF77-98E4-4A32-B777-D50628EA9DD4}" srcId="{E29E5C84-A25E-4526-AC07-B81EFEAF4EC4}" destId="{70F991E4-7254-4D65-957C-26F95EF3B597}" srcOrd="0" destOrd="0" parTransId="{CFD2F8C5-3B67-45E4-9D3E-AF14CE6CB8B5}" sibTransId="{9C4444CB-0885-4111-A813-EB8B35336E71}"/>
    <dgm:cxn modelId="{173A0558-6C90-4C12-A016-A751A485AD2C}" type="presOf" srcId="{D02CB5C2-15A8-4F13-B367-B8CB0CBC99A7}" destId="{3C0D51AF-8D5A-4E53-BF5F-084B1F6F69D3}" srcOrd="0" destOrd="0" presId="urn:microsoft.com/office/officeart/2005/8/layout/orgChart1"/>
    <dgm:cxn modelId="{1CAEC958-6DF4-40B6-A26A-710E1F4105A2}" type="presOf" srcId="{33E9EEA0-4202-4F92-AE86-52E831CDD874}" destId="{112F6855-1E0E-497F-9415-4D7C4472C93D}" srcOrd="0" destOrd="0" presId="urn:microsoft.com/office/officeart/2005/8/layout/orgChart1"/>
    <dgm:cxn modelId="{834AC479-234E-4AB3-B5DA-BA566F4C4D09}" srcId="{D748E4A4-276A-49B0-A971-36DE50F67E10}" destId="{B57D9A7B-4976-4B9D-8894-30B5C68DDDE4}" srcOrd="1" destOrd="0" parTransId="{6749D2E4-45B8-4EB7-BE0A-C54E27589149}" sibTransId="{57262E15-9DE9-4025-AD8B-3BB803EFE2E2}"/>
    <dgm:cxn modelId="{200ED259-11FA-4D3C-A52B-A2A150553D71}" type="presOf" srcId="{3854F94D-059C-4E95-9219-9143D2EBF524}" destId="{47784190-21D1-4F73-9404-980DCC576367}" srcOrd="0" destOrd="0" presId="urn:microsoft.com/office/officeart/2005/8/layout/orgChart1"/>
    <dgm:cxn modelId="{711E867A-925C-4763-99B1-4D0694F0188D}" type="presOf" srcId="{A80D8A88-0315-4925-922E-91051C3ECBAD}" destId="{EC1E84DB-6112-4937-AD2E-9A25DB5F2CCC}" srcOrd="0" destOrd="0" presId="urn:microsoft.com/office/officeart/2005/8/layout/orgChart1"/>
    <dgm:cxn modelId="{405D727B-4E6E-4DF4-AE8C-BE9AE16DA07D}" type="presOf" srcId="{E1F4F594-4646-4DC7-897F-DD5DC1AAD81D}" destId="{D3FAA5C8-1929-4686-98B8-2F11E01310C9}" srcOrd="0" destOrd="0" presId="urn:microsoft.com/office/officeart/2005/8/layout/orgChart1"/>
    <dgm:cxn modelId="{1B416F7F-DA19-49E4-A9BE-9E7CC4415D55}" type="presOf" srcId="{49693103-0A52-4ED7-BCB3-5BDB07D60093}" destId="{7293EB14-24DB-46B6-87E4-1E172FF86BCA}" srcOrd="0" destOrd="0" presId="urn:microsoft.com/office/officeart/2005/8/layout/orgChart1"/>
    <dgm:cxn modelId="{F07C7D7F-5C9F-47B4-BE64-B8B89F847BB9}" type="presOf" srcId="{1D1B8B76-6D21-4B49-B3FE-0BB29CB58A29}" destId="{BB98FCBB-EE7A-4658-9219-303F93DA6698}" srcOrd="0" destOrd="0" presId="urn:microsoft.com/office/officeart/2005/8/layout/orgChart1"/>
    <dgm:cxn modelId="{9266C580-BE08-4CCE-9A83-A39F31E1D909}" srcId="{87808678-A671-475E-AF31-49E04FE77663}" destId="{C25ABE28-D360-496D-9B6C-ECB26119C58E}" srcOrd="2" destOrd="0" parTransId="{BF2139A9-7750-4947-A7C5-18C839D17192}" sibTransId="{9F9907FA-FC7B-4D7F-9769-51AFE919700A}"/>
    <dgm:cxn modelId="{EE9BE383-6662-4FD6-BF01-F35CC39AD45D}" type="presOf" srcId="{87808678-A671-475E-AF31-49E04FE77663}" destId="{DF588E0D-9B25-406A-8ECB-095CBC76C9BB}" srcOrd="1" destOrd="0" presId="urn:microsoft.com/office/officeart/2005/8/layout/orgChart1"/>
    <dgm:cxn modelId="{3678F384-D561-45F0-91EF-09C565870C7F}" type="presOf" srcId="{05A575D2-1F37-4E08-BF0F-0C646350D782}" destId="{E680F636-4031-4A28-9DA5-B69E39F1976C}" srcOrd="0" destOrd="0" presId="urn:microsoft.com/office/officeart/2005/8/layout/orgChart1"/>
    <dgm:cxn modelId="{EB107F85-4DF4-4145-989D-2A6561E08E00}" srcId="{14897AD8-34F1-45FF-B898-C4ECCF6F77B1}" destId="{6FB94F34-8E8D-4403-A4FF-D95CDA90D5D9}" srcOrd="0" destOrd="0" parTransId="{43D31BBD-483D-425F-912A-4E240DA2B490}" sibTransId="{727F8472-904D-443F-AE9C-7F12F0CE21E4}"/>
    <dgm:cxn modelId="{24098E88-FF92-4D8A-B9EB-094A96C16A48}" srcId="{70F991E4-7254-4D65-957C-26F95EF3B597}" destId="{3D48A6CE-2D76-4F2F-A23C-13DFC9BE684B}" srcOrd="2" destOrd="0" parTransId="{4ACFA607-348B-4159-983B-3D008F2DBA35}" sibTransId="{6E954B39-2233-40B1-BBE1-A9535459A7E6}"/>
    <dgm:cxn modelId="{3AB0EF8A-B24C-4E4F-A8D3-99CB6F8E00F0}" type="presOf" srcId="{E7CCBC15-826E-456A-B23F-2244AA78CFCA}" destId="{F767F0FF-2D56-4A01-91F2-9DDFB0569C98}" srcOrd="1" destOrd="0" presId="urn:microsoft.com/office/officeart/2005/8/layout/orgChart1"/>
    <dgm:cxn modelId="{CB5EBE8C-4799-447F-9790-90AF3C7A7649}" type="presOf" srcId="{70F991E4-7254-4D65-957C-26F95EF3B597}" destId="{486ED79C-08D3-4DE9-B07C-278B2AD7B158}" srcOrd="0" destOrd="0" presId="urn:microsoft.com/office/officeart/2005/8/layout/orgChart1"/>
    <dgm:cxn modelId="{85A9C98D-F0FB-44D4-9532-CD26045D6574}" type="presOf" srcId="{43D31BBD-483D-425F-912A-4E240DA2B490}" destId="{B870542E-14E2-46AB-99B3-F18ABE97975E}" srcOrd="0" destOrd="0" presId="urn:microsoft.com/office/officeart/2005/8/layout/orgChart1"/>
    <dgm:cxn modelId="{73C57B8F-939A-40DC-8963-AA76E8438268}" type="presOf" srcId="{14897AD8-34F1-45FF-B898-C4ECCF6F77B1}" destId="{98D925AB-C35D-47C1-8106-73685D2AC3DE}" srcOrd="0" destOrd="0" presId="urn:microsoft.com/office/officeart/2005/8/layout/orgChart1"/>
    <dgm:cxn modelId="{B3762F90-3893-4340-BAB8-A7D4F2E02F3D}" type="presOf" srcId="{B3645FE4-99EB-49CA-888A-7F89D3A734A9}" destId="{B40DCBC3-4826-4131-A821-066665B46164}" srcOrd="1" destOrd="0" presId="urn:microsoft.com/office/officeart/2005/8/layout/orgChart1"/>
    <dgm:cxn modelId="{36651E91-3863-4EAA-B799-6857E11B347A}" type="presOf" srcId="{3F3DCC9D-C6CA-468D-8612-0EFB4C9E2D49}" destId="{82DC4258-3990-41B0-8027-B610847D4D14}" srcOrd="0" destOrd="0" presId="urn:microsoft.com/office/officeart/2005/8/layout/orgChart1"/>
    <dgm:cxn modelId="{CFCAA495-DEE5-4F42-A920-D9AF3ACB60EC}" type="presOf" srcId="{23E77321-1DBA-4992-9408-DD6298BB1666}" destId="{FEDC1200-0111-4825-B09F-FC7CB3E8647D}" srcOrd="0" destOrd="0" presId="urn:microsoft.com/office/officeart/2005/8/layout/orgChart1"/>
    <dgm:cxn modelId="{79F2FC97-BCCF-4036-A61C-E926865108BE}" type="presOf" srcId="{30BC17A7-6714-4179-8197-76256FD65BD0}" destId="{90F2F394-C6B7-4E2B-B578-EC843121D870}" srcOrd="0" destOrd="0" presId="urn:microsoft.com/office/officeart/2005/8/layout/orgChart1"/>
    <dgm:cxn modelId="{8840CE98-109C-4BA4-857F-006021C57BC8}" type="presOf" srcId="{52E1643A-3ECD-436E-A5EC-163390F39E85}" destId="{76EDC1CA-E2CE-4E06-B869-7414CB80862D}" srcOrd="0" destOrd="0" presId="urn:microsoft.com/office/officeart/2005/8/layout/orgChart1"/>
    <dgm:cxn modelId="{C27D3499-19D5-4E25-B754-13DC6C845431}" type="presOf" srcId="{6C290877-55A4-4220-832E-847C900223F3}" destId="{87A3AC91-25DD-4A9D-B7F0-639A09FF888A}" srcOrd="1" destOrd="0" presId="urn:microsoft.com/office/officeart/2005/8/layout/orgChart1"/>
    <dgm:cxn modelId="{F2C6B599-EAB5-4303-AC21-5DA4D37C620A}" type="presOf" srcId="{F0016FBB-3F31-4FF3-95C1-FD5622CAE2FF}" destId="{01750666-9CC9-4110-AD60-01D9244A4127}" srcOrd="1" destOrd="0" presId="urn:microsoft.com/office/officeart/2005/8/layout/orgChart1"/>
    <dgm:cxn modelId="{C0617C9A-0A92-4EB3-AFE6-EFB7874DF9E2}" type="presOf" srcId="{71FF4F9D-D92E-4718-8B2A-B39C727AF537}" destId="{9D74C5B6-4C2C-4CB0-826E-E717666CA8D7}" srcOrd="1" destOrd="0" presId="urn:microsoft.com/office/officeart/2005/8/layout/orgChart1"/>
    <dgm:cxn modelId="{7906AF9A-85B3-4923-A1B8-5B24104FC85E}" type="presOf" srcId="{543F91C0-2A99-480C-84D5-131E6AC63288}" destId="{B077A237-CC79-4C82-9949-ED68A623126F}" srcOrd="1" destOrd="0" presId="urn:microsoft.com/office/officeart/2005/8/layout/orgChart1"/>
    <dgm:cxn modelId="{CF44EC9A-5DED-4321-A79A-11CC489E7029}" srcId="{87808678-A671-475E-AF31-49E04FE77663}" destId="{8FDE9346-7471-48C1-ABB0-987F9D56D9D6}" srcOrd="3" destOrd="0" parTransId="{9030327D-25F6-45AA-BBCF-98B66A5F6CD7}" sibTransId="{9D00366C-D07E-4D99-B524-DB0E5C980E09}"/>
    <dgm:cxn modelId="{23E0F19B-A6F5-4F97-8BA3-4AECE6102B87}" type="presOf" srcId="{C3F73760-FC6F-45A7-9CF9-94C30BE535F8}" destId="{8EBDDFD3-45F6-47F9-BD48-49DFF5F4A9D9}" srcOrd="0" destOrd="0" presId="urn:microsoft.com/office/officeart/2005/8/layout/orgChart1"/>
    <dgm:cxn modelId="{AEE20E9F-35CC-4685-A956-4F8E89FBAE7A}" type="presOf" srcId="{6281E577-4DA2-49FC-A3F8-F3A4DFDF907C}" destId="{F3D70145-025A-4356-BF43-46E45FB2A3A7}" srcOrd="1" destOrd="0" presId="urn:microsoft.com/office/officeart/2005/8/layout/orgChart1"/>
    <dgm:cxn modelId="{BCE2409F-ADE2-4BAE-8BA4-29BA2A177780}" srcId="{A7878F06-5877-4A04-8C37-B9CE462940DA}" destId="{6C290877-55A4-4220-832E-847C900223F3}" srcOrd="1" destOrd="0" parTransId="{EECF37D3-989C-40FA-8662-078302211D56}" sibTransId="{A8EA3B12-5FD8-4B90-91A5-2191A52AC5FD}"/>
    <dgm:cxn modelId="{B85A12A0-6E95-4AC6-BEB4-4D4602ED92C3}" type="presOf" srcId="{D2ECD54F-54D4-4681-8029-23E2EDD8358D}" destId="{0A5B7267-27C9-47C0-BE2C-B1F733517DBD}" srcOrd="1" destOrd="0" presId="urn:microsoft.com/office/officeart/2005/8/layout/orgChart1"/>
    <dgm:cxn modelId="{2F9473A1-B4B6-4311-BBA0-B2F80BA5C25B}" srcId="{1D1B8B76-6D21-4B49-B3FE-0BB29CB58A29}" destId="{45243D2E-ADF1-4B1E-8FBE-88320EF10A63}" srcOrd="0" destOrd="0" parTransId="{19E605B3-2659-4E36-80B0-D57323BB4871}" sibTransId="{1A92A4BB-8C77-486C-89FF-21BFF842D9D2}"/>
    <dgm:cxn modelId="{D41D7FA7-8B73-4D35-992D-ADB3ECAD1A23}" type="presOf" srcId="{3713E91C-68D1-445C-82D0-A9D217B905E3}" destId="{F1D409E8-50FF-4C7B-BC90-7D86CBD5AE53}" srcOrd="0" destOrd="0" presId="urn:microsoft.com/office/officeart/2005/8/layout/orgChart1"/>
    <dgm:cxn modelId="{533474A8-D754-45D7-802D-2B28CC6C03AC}" srcId="{70F991E4-7254-4D65-957C-26F95EF3B597}" destId="{71FF4F9D-D92E-4718-8B2A-B39C727AF537}" srcOrd="1" destOrd="0" parTransId="{3F3DCC9D-C6CA-468D-8612-0EFB4C9E2D49}" sibTransId="{A43B3518-D7D8-4A64-9C35-2644A8F0F545}"/>
    <dgm:cxn modelId="{7D5C47AA-EE82-4A6A-AD63-4ED563ACBEDE}" srcId="{7C51B67D-3EC3-45F3-A058-5097FF033899}" destId="{B3645FE4-99EB-49CA-888A-7F89D3A734A9}" srcOrd="2" destOrd="0" parTransId="{C3F73760-FC6F-45A7-9CF9-94C30BE535F8}" sibTransId="{1B0E847B-38E4-4688-9A4D-5BA182E99DCE}"/>
    <dgm:cxn modelId="{96204AAD-3FAA-4823-A993-4845885FDCAD}" type="presOf" srcId="{F0099887-15D3-45D3-AB54-30AEFEA389D2}" destId="{FAEAC0C7-1EBF-40C6-A1CB-AEFDA2839575}" srcOrd="1" destOrd="0" presId="urn:microsoft.com/office/officeart/2005/8/layout/orgChart1"/>
    <dgm:cxn modelId="{8B0F8CAE-26F3-45AE-A94B-8FB0E9FF2AE5}" type="presOf" srcId="{C49922A3-A0EC-4C2E-A98C-56B9A13ECBDB}" destId="{5BE1ED46-602B-4EE1-A80E-622BAA5D8B53}" srcOrd="0" destOrd="0" presId="urn:microsoft.com/office/officeart/2005/8/layout/orgChart1"/>
    <dgm:cxn modelId="{96DE8FB3-297B-45C6-B111-AA1709FED800}" type="presOf" srcId="{90281C54-0751-4A4D-8C2E-8108CCA18992}" destId="{287856A3-DA1E-4C0C-A7B8-D0A73E9E73A7}" srcOrd="1" destOrd="0" presId="urn:microsoft.com/office/officeart/2005/8/layout/orgChart1"/>
    <dgm:cxn modelId="{4761B8B4-1479-4F42-BFCE-EED12FF338CE}" type="presOf" srcId="{B7A6ACAB-50D6-4E51-A191-88EB499C56B4}" destId="{3C1E987B-0A7A-4FA0-88E9-F3C910D64BB8}" srcOrd="0" destOrd="0" presId="urn:microsoft.com/office/officeart/2005/8/layout/orgChart1"/>
    <dgm:cxn modelId="{81497FB5-3DF7-4C17-B448-4DCF69D1BE2F}" type="presOf" srcId="{60765FD2-5ACA-4427-8ADC-0C3FC86ED222}" destId="{8345D5FE-94D5-4ECA-99E6-2E4449DC005D}" srcOrd="0" destOrd="0" presId="urn:microsoft.com/office/officeart/2005/8/layout/orgChart1"/>
    <dgm:cxn modelId="{EDE5CFB5-66AB-44EE-978F-74C5E6716AD6}" type="presOf" srcId="{336FF252-47EF-4A25-B52C-EECD2AF783EE}" destId="{C584BC22-2A6E-46A2-BFDE-24AB80BD956F}" srcOrd="0" destOrd="0" presId="urn:microsoft.com/office/officeart/2005/8/layout/orgChart1"/>
    <dgm:cxn modelId="{6190F9B5-A4FA-42C0-AA7C-75E6A980C795}" type="presOf" srcId="{FB395539-FD74-4463-8173-95B1B17CBEC0}" destId="{03A0AA24-E333-4197-9EFD-6A4571341834}" srcOrd="1" destOrd="0" presId="urn:microsoft.com/office/officeart/2005/8/layout/orgChart1"/>
    <dgm:cxn modelId="{3C3C66B7-51AA-424F-B079-941C0B4D1503}" srcId="{D748E4A4-276A-49B0-A971-36DE50F67E10}" destId="{D2ECD54F-54D4-4681-8029-23E2EDD8358D}" srcOrd="0" destOrd="0" parTransId="{E810BA95-A49D-472D-8283-C9E5E9E072C8}" sibTransId="{4552BEF3-9D43-43F1-A5AE-3AB12FA012BC}"/>
    <dgm:cxn modelId="{0E1C4AB8-674E-4463-8B47-FDD20B52411A}" srcId="{14897AD8-34F1-45FF-B898-C4ECCF6F77B1}" destId="{23E77321-1DBA-4992-9408-DD6298BB1666}" srcOrd="5" destOrd="0" parTransId="{99F3D899-E589-4363-B042-C72BF417E000}" sibTransId="{648C3BAC-BAC1-4A0E-B456-AB49C3112EE3}"/>
    <dgm:cxn modelId="{81D0E1B8-C015-43F2-8827-DFB79484A549}" type="presOf" srcId="{D3919E75-DAAE-47ED-90DB-C033769C37DC}" destId="{98C110D0-630C-4EAA-94E4-07C2E705407A}" srcOrd="0" destOrd="0" presId="urn:microsoft.com/office/officeart/2005/8/layout/orgChart1"/>
    <dgm:cxn modelId="{4812FBB8-59C7-456C-967C-40ACDEC51C04}" srcId="{E1F4F594-4646-4DC7-897F-DD5DC1AAD81D}" destId="{7C51B67D-3EC3-45F3-A058-5097FF033899}" srcOrd="3" destOrd="0" parTransId="{05A575D2-1F37-4E08-BF0F-0C646350D782}" sibTransId="{BDE17B23-D5FB-49E0-997D-142ACF98A8A2}"/>
    <dgm:cxn modelId="{9C8076BA-97C0-45C3-A19A-C680DC39640C}" srcId="{87808678-A671-475E-AF31-49E04FE77663}" destId="{A80D8A88-0315-4925-922E-91051C3ECBAD}" srcOrd="1" destOrd="0" parTransId="{C62CA505-4983-4142-BF53-95334CF57C59}" sibTransId="{C7D724B9-A507-4EAA-A8A2-FC3D1B744ADE}"/>
    <dgm:cxn modelId="{BA1EF3BA-159D-4560-AE82-486E602FD47D}" type="presOf" srcId="{E810BA95-A49D-472D-8283-C9E5E9E072C8}" destId="{79F6C693-ECFD-4066-8F75-2F17B9E8547C}" srcOrd="0" destOrd="0" presId="urn:microsoft.com/office/officeart/2005/8/layout/orgChart1"/>
    <dgm:cxn modelId="{E50789BB-823C-41D5-A5BD-44C52917E1CE}" srcId="{E1F4F594-4646-4DC7-897F-DD5DC1AAD81D}" destId="{A7878F06-5877-4A04-8C37-B9CE462940DA}" srcOrd="0" destOrd="0" parTransId="{737744D7-AC0B-4161-B8BF-E8C8D025BD7B}" sibTransId="{D1150B54-6787-4B5C-817B-5E154D435F1F}"/>
    <dgm:cxn modelId="{FF9B92BC-2769-41E3-9C0F-6E8C75746652}" srcId="{87808678-A671-475E-AF31-49E04FE77663}" destId="{0B9972C5-D9C7-41C0-BDA4-F67718C3DFE7}" srcOrd="0" destOrd="0" parTransId="{9C793535-AAE9-4525-8F32-D025EF0EB953}" sibTransId="{37BEB367-0FEB-49AE-89C1-6056A08F1648}"/>
    <dgm:cxn modelId="{F42519BD-6ED4-4B7F-AF9B-4876F8FDB627}" type="presOf" srcId="{6281E577-4DA2-49FC-A3F8-F3A4DFDF907C}" destId="{D2CD276E-EB36-4AD9-92D7-191ABB2939D2}" srcOrd="0" destOrd="0" presId="urn:microsoft.com/office/officeart/2005/8/layout/orgChart1"/>
    <dgm:cxn modelId="{A16A46BE-55EF-490A-9CD5-96A3E6125106}" type="presOf" srcId="{6749D2E4-45B8-4EB7-BE0A-C54E27589149}" destId="{199EE967-76A6-4726-A2F7-A00CB2A94FE6}" srcOrd="0" destOrd="0" presId="urn:microsoft.com/office/officeart/2005/8/layout/orgChart1"/>
    <dgm:cxn modelId="{B3E968C0-194F-4295-B4FF-C9506A4F9A29}" type="presOf" srcId="{CFD2F8C5-3B67-45E4-9D3E-AF14CE6CB8B5}" destId="{45C23A21-526D-4995-80E9-F0D07310475C}" srcOrd="0" destOrd="0" presId="urn:microsoft.com/office/officeart/2005/8/layout/orgChart1"/>
    <dgm:cxn modelId="{DD556DC0-40E3-43D8-9F60-9C02CDB449A4}" type="presOf" srcId="{B57D9A7B-4976-4B9D-8894-30B5C68DDDE4}" destId="{4328C16C-D82E-48A3-AD92-FA3033C469E3}" srcOrd="1" destOrd="0" presId="urn:microsoft.com/office/officeart/2005/8/layout/orgChart1"/>
    <dgm:cxn modelId="{7B90F1C2-8D57-4649-8829-DF22AE8BE71B}" type="presOf" srcId="{B7A6ACAB-50D6-4E51-A191-88EB499C56B4}" destId="{77C91999-6B3B-4531-B906-0939A4B2A06E}" srcOrd="1" destOrd="0" presId="urn:microsoft.com/office/officeart/2005/8/layout/orgChart1"/>
    <dgm:cxn modelId="{77A8D8C3-231C-43D5-B0C5-24E66BD5292F}" type="presOf" srcId="{003EE19F-033D-47B2-8191-7BAA9CF1CCAA}" destId="{3C0DD84D-7F97-4752-BC6A-E12A319281CA}" srcOrd="0" destOrd="0" presId="urn:microsoft.com/office/officeart/2005/8/layout/orgChart1"/>
    <dgm:cxn modelId="{1F335EC7-E92F-48A9-80E6-47ACD3925045}" type="presOf" srcId="{90281C54-0751-4A4D-8C2E-8108CCA18992}" destId="{BFAE9770-EC7A-4C0C-905D-F311C8D2168D}" srcOrd="0" destOrd="0" presId="urn:microsoft.com/office/officeart/2005/8/layout/orgChart1"/>
    <dgm:cxn modelId="{61A532C9-8CDF-4A57-B637-4B5259E34560}" type="presOf" srcId="{543F91C0-2A99-480C-84D5-131E6AC63288}" destId="{87B20E20-DE6F-41AC-A975-E6ADA0215070}" srcOrd="0" destOrd="0" presId="urn:microsoft.com/office/officeart/2005/8/layout/orgChart1"/>
    <dgm:cxn modelId="{194D22CA-DD60-4725-BF1C-E2AE50AA14EB}" type="presOf" srcId="{CC770B51-AE55-4BCE-B849-3388ACF88B02}" destId="{3A3AD101-360F-4C41-B026-255081C7BF83}" srcOrd="0" destOrd="0" presId="urn:microsoft.com/office/officeart/2005/8/layout/orgChart1"/>
    <dgm:cxn modelId="{3F9FDDCB-E3B8-40CD-A214-BA170A18AF25}" type="presOf" srcId="{5869D9B4-145E-4673-A8F5-822BE4C613F4}" destId="{6D1FEB00-85F0-4935-AE4B-7E46722A9AA5}" srcOrd="1" destOrd="0" presId="urn:microsoft.com/office/officeart/2005/8/layout/orgChart1"/>
    <dgm:cxn modelId="{98567BCD-E9CF-4E4D-94B3-C0F0247EB948}" type="presOf" srcId="{23E77321-1DBA-4992-9408-DD6298BB1666}" destId="{0E1801E3-C936-4327-B108-BB2CFB15DFAA}" srcOrd="1" destOrd="0" presId="urn:microsoft.com/office/officeart/2005/8/layout/orgChart1"/>
    <dgm:cxn modelId="{BB848FCD-080A-48AE-BD66-C0344CE298C7}" type="presOf" srcId="{336FF252-47EF-4A25-B52C-EECD2AF783EE}" destId="{EF1BEA73-363D-44EE-81B1-26B4D91AF99D}" srcOrd="1" destOrd="0" presId="urn:microsoft.com/office/officeart/2005/8/layout/orgChart1"/>
    <dgm:cxn modelId="{910FD2CD-2E3E-41FB-84B0-A54620329437}" srcId="{7C51B67D-3EC3-45F3-A058-5097FF033899}" destId="{6281E577-4DA2-49FC-A3F8-F3A4DFDF907C}" srcOrd="1" destOrd="0" parTransId="{EC738665-2EDD-40D1-B598-35303CE27844}" sibTransId="{84C2784E-364A-48FE-8E2A-858813FEE311}"/>
    <dgm:cxn modelId="{7EE455D0-2A5A-4BB1-A9F8-F6BE0F38E08B}" type="presOf" srcId="{70F991E4-7254-4D65-957C-26F95EF3B597}" destId="{3FF6665E-2E66-477B-AF1C-30A37EC41554}" srcOrd="1" destOrd="0" presId="urn:microsoft.com/office/officeart/2005/8/layout/orgChart1"/>
    <dgm:cxn modelId="{309FE7D1-1B54-43FA-B7F2-9F62D57742AC}" type="presOf" srcId="{9D9A8D77-30E2-4188-91DA-23298310B5D7}" destId="{7388EE8E-E9D6-4383-88F5-CC6E1CD6D8D3}" srcOrd="0" destOrd="0" presId="urn:microsoft.com/office/officeart/2005/8/layout/orgChart1"/>
    <dgm:cxn modelId="{9BB261D3-2101-4B05-9EB2-AD792CF24856}" type="presOf" srcId="{6FB94F34-8E8D-4403-A4FF-D95CDA90D5D9}" destId="{9FE226CE-1DB4-4543-8B51-C27A1A1F37EA}" srcOrd="0" destOrd="0" presId="urn:microsoft.com/office/officeart/2005/8/layout/orgChart1"/>
    <dgm:cxn modelId="{CB9D66D3-6B46-4D24-8F76-B882C1FB764C}" srcId="{14897AD8-34F1-45FF-B898-C4ECCF6F77B1}" destId="{2D9038CC-E08B-4206-B3F9-3D0B0CAD45B4}" srcOrd="4" destOrd="0" parTransId="{CC770B51-AE55-4BCE-B849-3388ACF88B02}" sibTransId="{E573EB19-D4B7-4458-A0EB-9F2CA464E7D1}"/>
    <dgm:cxn modelId="{458306D4-FABD-4E12-A155-539ECB6A9A4F}" type="presOf" srcId="{8B1B9236-759F-4888-889F-DDB8592BF68C}" destId="{7744F35A-358F-4F86-8A56-7E3EB52666EF}" srcOrd="0" destOrd="0" presId="urn:microsoft.com/office/officeart/2005/8/layout/orgChart1"/>
    <dgm:cxn modelId="{690D3FD7-108A-4E81-9507-97D23E9D6278}" type="presOf" srcId="{737744D7-AC0B-4161-B8BF-E8C8D025BD7B}" destId="{D0277A88-5680-404E-AF09-676F33A75867}" srcOrd="0" destOrd="0" presId="urn:microsoft.com/office/officeart/2005/8/layout/orgChart1"/>
    <dgm:cxn modelId="{6B233ED8-0EDF-4CF9-81A2-75B573AACBF1}" type="presOf" srcId="{11A31DAE-352E-4BF8-92BF-E24226CA7F1A}" destId="{A4DA0507-E977-41F1-9DE0-A7C6400DB3E1}" srcOrd="0" destOrd="0" presId="urn:microsoft.com/office/officeart/2005/8/layout/orgChart1"/>
    <dgm:cxn modelId="{0CBE14DB-AC79-4329-99C4-839CCE2615E4}" type="presOf" srcId="{EC738665-2EDD-40D1-B598-35303CE27844}" destId="{5662163E-86C0-4D8C-BB0D-F09FD90504F1}" srcOrd="0" destOrd="0" presId="urn:microsoft.com/office/officeart/2005/8/layout/orgChart1"/>
    <dgm:cxn modelId="{CF8345DB-47D0-412A-A728-F7A768BEFE6C}" type="presOf" srcId="{853754F3-5179-4896-9CCC-49E63DDE4BE2}" destId="{368EDAC7-072F-46D8-ABF2-B8FA4E36FA33}" srcOrd="0" destOrd="0" presId="urn:microsoft.com/office/officeart/2005/8/layout/orgChart1"/>
    <dgm:cxn modelId="{F1B518DE-4A65-4CE0-BE99-8732B495E851}" srcId="{14897AD8-34F1-45FF-B898-C4ECCF6F77B1}" destId="{236C64A2-290F-46AD-8694-B33DC2DEFE0A}" srcOrd="2" destOrd="0" parTransId="{F0A9F6DB-A876-4FE5-A68F-7ADC46691621}" sibTransId="{A261AAC7-9B7A-4744-8236-2B783C0612B3}"/>
    <dgm:cxn modelId="{DAC3C8DE-5067-42CF-B28B-A70147B512E4}" type="presOf" srcId="{EECF37D3-989C-40FA-8662-078302211D56}" destId="{20A24862-4887-4AC9-82C3-C338E4C43A67}" srcOrd="0" destOrd="0" presId="urn:microsoft.com/office/officeart/2005/8/layout/orgChart1"/>
    <dgm:cxn modelId="{F6C186DF-E11A-4BAA-9838-4DD5E55F29CE}" type="presOf" srcId="{2DF1B5A3-DB16-4E9B-8DED-ECA1D1E9DCB6}" destId="{1B7D88EF-6DF5-476E-A80A-7A6427BB5766}" srcOrd="0" destOrd="0" presId="urn:microsoft.com/office/officeart/2005/8/layout/orgChart1"/>
    <dgm:cxn modelId="{D1F470E1-8EED-49FE-8AD3-DE22CF0B9C39}" srcId="{F0099887-15D3-45D3-AB54-30AEFEA389D2}" destId="{E1F4F594-4646-4DC7-897F-DD5DC1AAD81D}" srcOrd="0" destOrd="0" parTransId="{54FF72C3-93F1-4DC2-B0CC-728799C6D968}" sibTransId="{D7E8B3EC-CAE2-4756-A53D-F1031650324C}"/>
    <dgm:cxn modelId="{506051E2-E88B-43EF-82A5-48AD0C7DC039}" type="presOf" srcId="{7196EC7F-FD16-45B0-BE2A-DA56699DA492}" destId="{0B4039FD-8638-46AB-A3DC-C2C60FD0C3B1}" srcOrd="0" destOrd="0" presId="urn:microsoft.com/office/officeart/2005/8/layout/orgChart1"/>
    <dgm:cxn modelId="{CC328EE2-37B0-49A5-B970-34640DB9D0D5}" type="presOf" srcId="{6252BBB8-3B4F-43A2-A776-FBBB3F2F6AAA}" destId="{5BF8BDAD-77A9-45B8-8780-773F299C0C70}" srcOrd="1" destOrd="0" presId="urn:microsoft.com/office/officeart/2005/8/layout/orgChart1"/>
    <dgm:cxn modelId="{D01662E3-6AC2-46C8-ADB6-789D5DDA6321}" type="presOf" srcId="{1D1B8B76-6D21-4B49-B3FE-0BB29CB58A29}" destId="{BFA8EA8D-D845-4D66-B731-B2D98F94E459}" srcOrd="1" destOrd="0" presId="urn:microsoft.com/office/officeart/2005/8/layout/orgChart1"/>
    <dgm:cxn modelId="{402B34E7-7209-40EE-9D7A-7BB02F4DF128}" srcId="{70F991E4-7254-4D65-957C-26F95EF3B597}" destId="{11A31DAE-352E-4BF8-92BF-E24226CA7F1A}" srcOrd="4" destOrd="0" parTransId="{8B1B9236-759F-4888-889F-DDB8592BF68C}" sibTransId="{B68B5ABE-BBBA-469D-B5DC-AB083CFF025C}"/>
    <dgm:cxn modelId="{3FC75CE8-7490-42EE-A329-B2A7F15A74D6}" srcId="{D748E4A4-276A-49B0-A971-36DE50F67E10}" destId="{9D9A8D77-30E2-4188-91DA-23298310B5D7}" srcOrd="2" destOrd="0" parTransId="{3713E91C-68D1-445C-82D0-A9D217B905E3}" sibTransId="{A1E739A3-3C48-440A-A2CF-0E7555E32EB9}"/>
    <dgm:cxn modelId="{D41849EA-2C44-4DB8-B86B-97F612F2A6BD}" type="presOf" srcId="{B2444568-1380-4166-8780-CA6D34331087}" destId="{959850F9-DB57-452F-8431-BEBCD9D846E8}" srcOrd="1" destOrd="0" presId="urn:microsoft.com/office/officeart/2005/8/layout/orgChart1"/>
    <dgm:cxn modelId="{AD4871EA-60E0-49C9-A7AD-E6D3D932FF7B}" srcId="{14897AD8-34F1-45FF-B898-C4ECCF6F77B1}" destId="{F0016FBB-3F31-4FF3-95C1-FD5622CAE2FF}" srcOrd="1" destOrd="0" parTransId="{853754F3-5179-4896-9CCC-49E63DDE4BE2}" sibTransId="{3AB2A424-31AD-43D3-A110-46BECACC52E3}"/>
    <dgm:cxn modelId="{941B7EEA-8917-401D-AF48-F5ACD2962FCF}" type="presOf" srcId="{19E605B3-2659-4E36-80B0-D57323BB4871}" destId="{DBD97349-31BC-48C5-846F-270F33919490}" srcOrd="0" destOrd="0" presId="urn:microsoft.com/office/officeart/2005/8/layout/orgChart1"/>
    <dgm:cxn modelId="{339FE1EB-FD02-4106-92D0-CF216A157830}" type="presOf" srcId="{60765FD2-5ACA-4427-8ADC-0C3FC86ED222}" destId="{DD7D2C6A-C8DF-42BA-8790-AEAC5EC2DEF7}" srcOrd="1" destOrd="0" presId="urn:microsoft.com/office/officeart/2005/8/layout/orgChart1"/>
    <dgm:cxn modelId="{8AEFE1EB-95C9-498A-B329-809812E7F87C}" srcId="{14897AD8-34F1-45FF-B898-C4ECCF6F77B1}" destId="{49693103-0A52-4ED7-BCB3-5BDB07D60093}" srcOrd="3" destOrd="0" parTransId="{3854F94D-059C-4E95-9219-9143D2EBF524}" sibTransId="{911C633D-9AD9-46E7-95E8-3ACE8BE56C0F}"/>
    <dgm:cxn modelId="{DF1E79ED-011F-412A-9861-7F65BDA7F089}" type="presOf" srcId="{6C290877-55A4-4220-832E-847C900223F3}" destId="{3F157303-74D2-481F-AD1C-48C294EC71DA}" srcOrd="0" destOrd="0" presId="urn:microsoft.com/office/officeart/2005/8/layout/orgChart1"/>
    <dgm:cxn modelId="{262E52EE-458A-4E98-AB5D-C151111F27CE}" type="presOf" srcId="{A80D8A88-0315-4925-922E-91051C3ECBAD}" destId="{3A775F16-E4E1-4ACA-A8DE-0D1DB2B3B300}" srcOrd="1" destOrd="0" presId="urn:microsoft.com/office/officeart/2005/8/layout/orgChart1"/>
    <dgm:cxn modelId="{A33BECF0-5097-4926-A414-A2609C951B5B}" srcId="{A7878F06-5877-4A04-8C37-B9CE462940DA}" destId="{457B79B5-EFE9-420B-A014-B50436A48FB4}" srcOrd="0" destOrd="0" parTransId="{C49922A3-A0EC-4C2E-A98C-56B9A13ECBDB}" sibTransId="{AFD24C50-5C8A-49A8-B0AF-B1B74CF8D0D8}"/>
    <dgm:cxn modelId="{2CA506F2-B94A-431E-BA83-9CC2D91921AE}" type="presOf" srcId="{F0A9F6DB-A876-4FE5-A68F-7ADC46691621}" destId="{CE701833-6097-4DCC-970F-7AE8A1CD0773}" srcOrd="0" destOrd="0" presId="urn:microsoft.com/office/officeart/2005/8/layout/orgChart1"/>
    <dgm:cxn modelId="{2BDB45F2-BB1A-4294-9C0E-BC1DFA497B01}" type="presOf" srcId="{A834424E-8BBE-44F3-AB45-5236423699CE}" destId="{ECDF546D-D860-4D1A-80A4-B46FDA228AE7}" srcOrd="0" destOrd="0" presId="urn:microsoft.com/office/officeart/2005/8/layout/orgChart1"/>
    <dgm:cxn modelId="{91E782F5-98F8-47A2-8ABB-819E202DEB79}" type="presOf" srcId="{2A8E8F01-53D7-4466-ADD2-2D3E140F6BA1}" destId="{973D71D4-0B12-4409-BD0C-9424BD6EB666}" srcOrd="1" destOrd="0" presId="urn:microsoft.com/office/officeart/2005/8/layout/orgChart1"/>
    <dgm:cxn modelId="{0CE914F6-BF5D-4A66-973E-DC15AB489E73}" type="presOf" srcId="{849E17B0-E492-4847-A6D7-3A0680ECC2AB}" destId="{DCDBD4CF-C1EA-4B1A-88B3-39C90DFFD05D}" srcOrd="0" destOrd="0" presId="urn:microsoft.com/office/officeart/2005/8/layout/orgChart1"/>
    <dgm:cxn modelId="{0C18D0F8-2C02-487C-A18F-FDC82FBBC707}" type="presOf" srcId="{6252BBB8-3B4F-43A2-A776-FBBB3F2F6AAA}" destId="{9DA47146-C909-4CF2-AD7F-A76611B94CB5}" srcOrd="0" destOrd="0" presId="urn:microsoft.com/office/officeart/2005/8/layout/orgChart1"/>
    <dgm:cxn modelId="{FC0DB9F9-F36E-4BE5-B02C-C30727B65991}" type="presOf" srcId="{45243D2E-ADF1-4B1E-8FBE-88320EF10A63}" destId="{4457CC61-CD64-48BA-BBFB-96E8BD35DD70}" srcOrd="1" destOrd="0" presId="urn:microsoft.com/office/officeart/2005/8/layout/orgChart1"/>
    <dgm:cxn modelId="{7DF3F6F9-4526-4D81-8FE1-B28813B36834}" type="presOf" srcId="{14897AD8-34F1-45FF-B898-C4ECCF6F77B1}" destId="{5F188937-1ADB-4C9B-AAB8-8DF939C4B96B}" srcOrd="1" destOrd="0" presId="urn:microsoft.com/office/officeart/2005/8/layout/orgChart1"/>
    <dgm:cxn modelId="{2D9C34FA-1355-4AF9-BA97-9E216555D475}" type="presOf" srcId="{2D9038CC-E08B-4206-B3F9-3D0B0CAD45B4}" destId="{7097C3D2-CB53-4B54-866C-CC4AE4FEAE1D}" srcOrd="0" destOrd="0" presId="urn:microsoft.com/office/officeart/2005/8/layout/orgChart1"/>
    <dgm:cxn modelId="{194686FB-454F-45CE-90A3-62064CA6FF95}" type="presOf" srcId="{A7878F06-5877-4A04-8C37-B9CE462940DA}" destId="{22A1BA19-E955-437E-9420-B790158008FE}" srcOrd="1" destOrd="0" presId="urn:microsoft.com/office/officeart/2005/8/layout/orgChart1"/>
    <dgm:cxn modelId="{1469D1FB-3C04-42F1-8F3A-0684D04CDC72}" srcId="{E29E5C84-A25E-4526-AC07-B81EFEAF4EC4}" destId="{14897AD8-34F1-45FF-B898-C4ECCF6F77B1}" srcOrd="3" destOrd="0" parTransId="{352884C7-BD6E-4808-9AC7-44B19628E78E}" sibTransId="{EA35B831-2334-4903-B9B2-219121F69A93}"/>
    <dgm:cxn modelId="{4BBD6DFC-F413-4473-9514-5E960F752EAB}" type="presOf" srcId="{99F3D899-E589-4363-B042-C72BF417E000}" destId="{8D68BC4D-2482-4FBF-9A52-44F176EEF186}" srcOrd="0" destOrd="0" presId="urn:microsoft.com/office/officeart/2005/8/layout/orgChart1"/>
    <dgm:cxn modelId="{BCED75FC-E92C-4AFD-A58A-1A7E7C91D093}" srcId="{7C51B67D-3EC3-45F3-A058-5097FF033899}" destId="{5B3705C8-4447-459F-8152-B38235050BF8}" srcOrd="0" destOrd="0" parTransId="{2DF1B5A3-DB16-4E9B-8DED-ECA1D1E9DCB6}" sibTransId="{C71303A0-CADB-4BDC-9E87-D1002237D4E4}"/>
    <dgm:cxn modelId="{6BB1DCFC-9F0A-4247-AC67-8674095DEEF7}" type="presOf" srcId="{2A8E8F01-53D7-4466-ADD2-2D3E140F6BA1}" destId="{AB1456F4-F0FF-4329-AD15-9DBB7268995A}" srcOrd="0" destOrd="0" presId="urn:microsoft.com/office/officeart/2005/8/layout/orgChart1"/>
    <dgm:cxn modelId="{B01B23FD-8D5E-4087-ABB0-750EAA7A5E46}" type="presOf" srcId="{E7CCBC15-826E-456A-B23F-2244AA78CFCA}" destId="{25473F50-7207-4EDC-84EF-7A6794CF77A6}" srcOrd="0" destOrd="0" presId="urn:microsoft.com/office/officeart/2005/8/layout/orgChart1"/>
    <dgm:cxn modelId="{8255DEFF-9048-4BE5-9FA6-2EA1EFAA0E2D}" type="presOf" srcId="{45243D2E-ADF1-4B1E-8FBE-88320EF10A63}" destId="{BB1C01D0-9255-44A9-99BD-61C23D8AF35B}" srcOrd="0" destOrd="0" presId="urn:microsoft.com/office/officeart/2005/8/layout/orgChart1"/>
    <dgm:cxn modelId="{F7204CF9-03CE-4E0C-BDAB-30677AA7D972}" type="presParOf" srcId="{3C0D51AF-8D5A-4E53-BF5F-084B1F6F69D3}" destId="{8629369B-5745-456A-B366-B96CA49379E0}" srcOrd="0" destOrd="0" presId="urn:microsoft.com/office/officeart/2005/8/layout/orgChart1"/>
    <dgm:cxn modelId="{B2C21B1E-CBB2-4935-9ED5-33E7C46BAE35}" type="presParOf" srcId="{8629369B-5745-456A-B366-B96CA49379E0}" destId="{FD54F355-E13D-4B30-82CB-A0CD6C2B55CB}" srcOrd="0" destOrd="0" presId="urn:microsoft.com/office/officeart/2005/8/layout/orgChart1"/>
    <dgm:cxn modelId="{4305396E-8450-4538-8386-E08F65F2B67B}" type="presParOf" srcId="{FD54F355-E13D-4B30-82CB-A0CD6C2B55CB}" destId="{834094A9-3C89-49F6-BB8D-6DAC24759C40}" srcOrd="0" destOrd="0" presId="urn:microsoft.com/office/officeart/2005/8/layout/orgChart1"/>
    <dgm:cxn modelId="{52B1C31F-59A0-4454-A6B2-960B894B22A2}" type="presParOf" srcId="{FD54F355-E13D-4B30-82CB-A0CD6C2B55CB}" destId="{FAEAC0C7-1EBF-40C6-A1CB-AEFDA2839575}" srcOrd="1" destOrd="0" presId="urn:microsoft.com/office/officeart/2005/8/layout/orgChart1"/>
    <dgm:cxn modelId="{9270229B-CB84-48D1-A2F9-D457B8DAEC19}" type="presParOf" srcId="{8629369B-5745-456A-B366-B96CA49379E0}" destId="{87783880-6501-4E4C-A767-CBA61EDD6660}" srcOrd="1" destOrd="0" presId="urn:microsoft.com/office/officeart/2005/8/layout/orgChart1"/>
    <dgm:cxn modelId="{3B1A0BF1-7860-40BC-9AA4-C392215D6A87}" type="presParOf" srcId="{87783880-6501-4E4C-A767-CBA61EDD6660}" destId="{CA48A81E-83D4-4691-AA83-3073914F9C98}" srcOrd="0" destOrd="0" presId="urn:microsoft.com/office/officeart/2005/8/layout/orgChart1"/>
    <dgm:cxn modelId="{46DA9C50-937D-4A57-A622-6C7D1B7E168E}" type="presParOf" srcId="{87783880-6501-4E4C-A767-CBA61EDD6660}" destId="{C6127537-0B29-4740-83E6-D5BC2CC9DFC3}" srcOrd="1" destOrd="0" presId="urn:microsoft.com/office/officeart/2005/8/layout/orgChart1"/>
    <dgm:cxn modelId="{2B9727C6-2758-4572-B1EF-3DAB7FDA9267}" type="presParOf" srcId="{C6127537-0B29-4740-83E6-D5BC2CC9DFC3}" destId="{BD0E303F-8DB2-4BA6-8534-0E4DFE1FC6B5}" srcOrd="0" destOrd="0" presId="urn:microsoft.com/office/officeart/2005/8/layout/orgChart1"/>
    <dgm:cxn modelId="{A7965A82-082A-4F84-BDE9-9A392240F5FD}" type="presParOf" srcId="{BD0E303F-8DB2-4BA6-8534-0E4DFE1FC6B5}" destId="{D3FAA5C8-1929-4686-98B8-2F11E01310C9}" srcOrd="0" destOrd="0" presId="urn:microsoft.com/office/officeart/2005/8/layout/orgChart1"/>
    <dgm:cxn modelId="{90451560-835E-4A8B-81CF-5DCDBA796859}" type="presParOf" srcId="{BD0E303F-8DB2-4BA6-8534-0E4DFE1FC6B5}" destId="{7AC2D858-473F-47A4-B36A-05B02D0BC482}" srcOrd="1" destOrd="0" presId="urn:microsoft.com/office/officeart/2005/8/layout/orgChart1"/>
    <dgm:cxn modelId="{7B4B345C-F39A-4D5E-A7EB-5762CE15BCB6}" type="presParOf" srcId="{C6127537-0B29-4740-83E6-D5BC2CC9DFC3}" destId="{B22347B0-A0C5-4947-AC70-458F4954410D}" srcOrd="1" destOrd="0" presId="urn:microsoft.com/office/officeart/2005/8/layout/orgChart1"/>
    <dgm:cxn modelId="{DE3B93A1-08ED-4076-911D-174882D75BEB}" type="presParOf" srcId="{B22347B0-A0C5-4947-AC70-458F4954410D}" destId="{D0277A88-5680-404E-AF09-676F33A75867}" srcOrd="0" destOrd="0" presId="urn:microsoft.com/office/officeart/2005/8/layout/orgChart1"/>
    <dgm:cxn modelId="{BFEFDDAF-FF3D-42D7-A369-4336704996D9}" type="presParOf" srcId="{B22347B0-A0C5-4947-AC70-458F4954410D}" destId="{97745BC1-33B1-4AAD-B89D-4C659C3CB18E}" srcOrd="1" destOrd="0" presId="urn:microsoft.com/office/officeart/2005/8/layout/orgChart1"/>
    <dgm:cxn modelId="{BD556642-40BB-4747-96AD-1CB1DC1443B2}" type="presParOf" srcId="{97745BC1-33B1-4AAD-B89D-4C659C3CB18E}" destId="{9E10317F-2EE7-4AFE-90D3-AB47DD1F3162}" srcOrd="0" destOrd="0" presId="urn:microsoft.com/office/officeart/2005/8/layout/orgChart1"/>
    <dgm:cxn modelId="{81AE1488-6229-4B36-A17E-9472BC1DD3A6}" type="presParOf" srcId="{9E10317F-2EE7-4AFE-90D3-AB47DD1F3162}" destId="{6E277A6C-BB40-47AF-92E1-D8B684F30605}" srcOrd="0" destOrd="0" presId="urn:microsoft.com/office/officeart/2005/8/layout/orgChart1"/>
    <dgm:cxn modelId="{185B4271-DA0A-4813-916F-65D2827D3807}" type="presParOf" srcId="{9E10317F-2EE7-4AFE-90D3-AB47DD1F3162}" destId="{22A1BA19-E955-437E-9420-B790158008FE}" srcOrd="1" destOrd="0" presId="urn:microsoft.com/office/officeart/2005/8/layout/orgChart1"/>
    <dgm:cxn modelId="{C5456DD2-0BAF-4DC2-97EB-241EECCF711B}" type="presParOf" srcId="{97745BC1-33B1-4AAD-B89D-4C659C3CB18E}" destId="{AB242A9B-F1FA-4DFD-8291-E91F81B586EF}" srcOrd="1" destOrd="0" presId="urn:microsoft.com/office/officeart/2005/8/layout/orgChart1"/>
    <dgm:cxn modelId="{C4CA419C-CBF0-4FA6-806B-E0EA881D18AB}" type="presParOf" srcId="{AB242A9B-F1FA-4DFD-8291-E91F81B586EF}" destId="{5BE1ED46-602B-4EE1-A80E-622BAA5D8B53}" srcOrd="0" destOrd="0" presId="urn:microsoft.com/office/officeart/2005/8/layout/orgChart1"/>
    <dgm:cxn modelId="{A0C06B0A-B644-4822-8B4B-43E0D74DD77C}" type="presParOf" srcId="{AB242A9B-F1FA-4DFD-8291-E91F81B586EF}" destId="{557C6798-577C-43A5-84DE-6DC6E69FC5BA}" srcOrd="1" destOrd="0" presId="urn:microsoft.com/office/officeart/2005/8/layout/orgChart1"/>
    <dgm:cxn modelId="{0DFB0EE8-1030-4802-998A-85F41F214381}" type="presParOf" srcId="{557C6798-577C-43A5-84DE-6DC6E69FC5BA}" destId="{1BA424CD-B34E-4E2F-9A4A-FAD3895B5159}" srcOrd="0" destOrd="0" presId="urn:microsoft.com/office/officeart/2005/8/layout/orgChart1"/>
    <dgm:cxn modelId="{2644FCE1-09EE-4963-A230-7C3D5F55D451}" type="presParOf" srcId="{1BA424CD-B34E-4E2F-9A4A-FAD3895B5159}" destId="{9EB29434-4795-43E3-9B5B-1DE77CC5F7CB}" srcOrd="0" destOrd="0" presId="urn:microsoft.com/office/officeart/2005/8/layout/orgChart1"/>
    <dgm:cxn modelId="{FC952763-0BC4-46A1-A74A-B24A6462B65E}" type="presParOf" srcId="{1BA424CD-B34E-4E2F-9A4A-FAD3895B5159}" destId="{ABACC641-9DF9-4914-BFFC-2CECE08FCE4C}" srcOrd="1" destOrd="0" presId="urn:microsoft.com/office/officeart/2005/8/layout/orgChart1"/>
    <dgm:cxn modelId="{B00D963E-5AA6-4EB7-80AD-795EC229BEEA}" type="presParOf" srcId="{557C6798-577C-43A5-84DE-6DC6E69FC5BA}" destId="{274FFD7F-1F2D-4D0B-9665-A1D62CCC8E3F}" srcOrd="1" destOrd="0" presId="urn:microsoft.com/office/officeart/2005/8/layout/orgChart1"/>
    <dgm:cxn modelId="{F72B4544-5FF9-4849-B1E3-69244658EF6F}" type="presParOf" srcId="{557C6798-577C-43A5-84DE-6DC6E69FC5BA}" destId="{2385C411-F4CF-4D76-A82B-B96605809602}" srcOrd="2" destOrd="0" presId="urn:microsoft.com/office/officeart/2005/8/layout/orgChart1"/>
    <dgm:cxn modelId="{121945FE-DA57-460A-BD49-3C52D87DB064}" type="presParOf" srcId="{AB242A9B-F1FA-4DFD-8291-E91F81B586EF}" destId="{20A24862-4887-4AC9-82C3-C338E4C43A67}" srcOrd="2" destOrd="0" presId="urn:microsoft.com/office/officeart/2005/8/layout/orgChart1"/>
    <dgm:cxn modelId="{6A981225-0756-4E35-8D03-4C155C766FEE}" type="presParOf" srcId="{AB242A9B-F1FA-4DFD-8291-E91F81B586EF}" destId="{B40E575E-2A07-4EDE-9770-70FD8F925C7C}" srcOrd="3" destOrd="0" presId="urn:microsoft.com/office/officeart/2005/8/layout/orgChart1"/>
    <dgm:cxn modelId="{DF6BD99E-DC6E-4B80-856D-B0A84C8CD109}" type="presParOf" srcId="{B40E575E-2A07-4EDE-9770-70FD8F925C7C}" destId="{FCCD8547-5F23-4120-99A7-C07FB3EA5C0A}" srcOrd="0" destOrd="0" presId="urn:microsoft.com/office/officeart/2005/8/layout/orgChart1"/>
    <dgm:cxn modelId="{ED765EA8-FBD2-42B5-A7F8-BB35DF9756DD}" type="presParOf" srcId="{FCCD8547-5F23-4120-99A7-C07FB3EA5C0A}" destId="{3F157303-74D2-481F-AD1C-48C294EC71DA}" srcOrd="0" destOrd="0" presId="urn:microsoft.com/office/officeart/2005/8/layout/orgChart1"/>
    <dgm:cxn modelId="{B16AFF59-A6AF-4E6C-B035-8C248AFAF6B7}" type="presParOf" srcId="{FCCD8547-5F23-4120-99A7-C07FB3EA5C0A}" destId="{87A3AC91-25DD-4A9D-B7F0-639A09FF888A}" srcOrd="1" destOrd="0" presId="urn:microsoft.com/office/officeart/2005/8/layout/orgChart1"/>
    <dgm:cxn modelId="{4EA759AE-E15C-4B1B-98E7-1424E3E56475}" type="presParOf" srcId="{B40E575E-2A07-4EDE-9770-70FD8F925C7C}" destId="{B163F421-C93C-414A-AFBD-587DDB5BDE97}" srcOrd="1" destOrd="0" presId="urn:microsoft.com/office/officeart/2005/8/layout/orgChart1"/>
    <dgm:cxn modelId="{46CE5B9F-DABF-4E4D-9C87-9C6DBE7E71DF}" type="presParOf" srcId="{B40E575E-2A07-4EDE-9770-70FD8F925C7C}" destId="{4A05C960-2F15-401D-B99F-D26F7567711D}" srcOrd="2" destOrd="0" presId="urn:microsoft.com/office/officeart/2005/8/layout/orgChart1"/>
    <dgm:cxn modelId="{40139DE1-53A2-4C71-B1B2-1E169D2003E2}" type="presParOf" srcId="{AB242A9B-F1FA-4DFD-8291-E91F81B586EF}" destId="{E9EA99C5-E131-407D-A12F-307D4CEFCBD0}" srcOrd="4" destOrd="0" presId="urn:microsoft.com/office/officeart/2005/8/layout/orgChart1"/>
    <dgm:cxn modelId="{A03878E1-77AC-44D6-B00C-9093D2199D0C}" type="presParOf" srcId="{AB242A9B-F1FA-4DFD-8291-E91F81B586EF}" destId="{ED809C48-3711-4B4B-89CC-20C4B3C6797F}" srcOrd="5" destOrd="0" presId="urn:microsoft.com/office/officeart/2005/8/layout/orgChart1"/>
    <dgm:cxn modelId="{0E64F3F9-C499-4B30-A78D-002B8E770118}" type="presParOf" srcId="{ED809C48-3711-4B4B-89CC-20C4B3C6797F}" destId="{4B951EC2-93CB-4691-A793-28751CD7FE98}" srcOrd="0" destOrd="0" presId="urn:microsoft.com/office/officeart/2005/8/layout/orgChart1"/>
    <dgm:cxn modelId="{B032331E-CE1D-487C-ACD7-C1A27F6366A8}" type="presParOf" srcId="{4B951EC2-93CB-4691-A793-28751CD7FE98}" destId="{291B6C9E-C9DF-46F0-AA90-E75BDB4160C0}" srcOrd="0" destOrd="0" presId="urn:microsoft.com/office/officeart/2005/8/layout/orgChart1"/>
    <dgm:cxn modelId="{7481AEBF-5398-43C0-B0BF-40FCB1A94A07}" type="presParOf" srcId="{4B951EC2-93CB-4691-A793-28751CD7FE98}" destId="{63980A6B-0054-4709-8FAE-6A2472C3F2C9}" srcOrd="1" destOrd="0" presId="urn:microsoft.com/office/officeart/2005/8/layout/orgChart1"/>
    <dgm:cxn modelId="{A366261F-79C5-46F0-B5CB-01C045AA2D36}" type="presParOf" srcId="{ED809C48-3711-4B4B-89CC-20C4B3C6797F}" destId="{EC74AD5F-0EA0-43D6-AB8E-06D70BE6CA5B}" srcOrd="1" destOrd="0" presId="urn:microsoft.com/office/officeart/2005/8/layout/orgChart1"/>
    <dgm:cxn modelId="{3BBA15C9-F7FA-4BF9-A673-F55983F3E5BE}" type="presParOf" srcId="{ED809C48-3711-4B4B-89CC-20C4B3C6797F}" destId="{98029D29-9663-4270-B5BB-ACA46DB31592}" srcOrd="2" destOrd="0" presId="urn:microsoft.com/office/officeart/2005/8/layout/orgChart1"/>
    <dgm:cxn modelId="{EA44EAD9-BC2B-4BF8-861F-5455E670C258}" type="presParOf" srcId="{AB242A9B-F1FA-4DFD-8291-E91F81B586EF}" destId="{74B7CBFD-50A9-4F45-9591-C11F9568732E}" srcOrd="6" destOrd="0" presId="urn:microsoft.com/office/officeart/2005/8/layout/orgChart1"/>
    <dgm:cxn modelId="{2362597F-ADDF-4EF4-845D-9B8554D2CEA0}" type="presParOf" srcId="{AB242A9B-F1FA-4DFD-8291-E91F81B586EF}" destId="{71D44227-6693-4043-A79F-A02312F1821A}" srcOrd="7" destOrd="0" presId="urn:microsoft.com/office/officeart/2005/8/layout/orgChart1"/>
    <dgm:cxn modelId="{A7159CAE-4E5D-4C89-9A4E-84FBD2261E93}" type="presParOf" srcId="{71D44227-6693-4043-A79F-A02312F1821A}" destId="{65E810A5-E961-44F9-A15A-4912A299AB29}" srcOrd="0" destOrd="0" presId="urn:microsoft.com/office/officeart/2005/8/layout/orgChart1"/>
    <dgm:cxn modelId="{ABCFD352-2BD0-4B9F-A033-7BEFE570EEE2}" type="presParOf" srcId="{65E810A5-E961-44F9-A15A-4912A299AB29}" destId="{2755D37C-B7FF-4C97-9798-D8F8D2E510DC}" srcOrd="0" destOrd="0" presId="urn:microsoft.com/office/officeart/2005/8/layout/orgChart1"/>
    <dgm:cxn modelId="{7D79F613-943A-4C6A-8018-A8FF8B4509DF}" type="presParOf" srcId="{65E810A5-E961-44F9-A15A-4912A299AB29}" destId="{959850F9-DB57-452F-8431-BEBCD9D846E8}" srcOrd="1" destOrd="0" presId="urn:microsoft.com/office/officeart/2005/8/layout/orgChart1"/>
    <dgm:cxn modelId="{B14B7F6F-B6DC-4641-B721-890C2B037728}" type="presParOf" srcId="{71D44227-6693-4043-A79F-A02312F1821A}" destId="{1A6F1953-7D5C-4F68-A417-0F04519557CD}" srcOrd="1" destOrd="0" presId="urn:microsoft.com/office/officeart/2005/8/layout/orgChart1"/>
    <dgm:cxn modelId="{8F045783-9CCC-4C7F-8C07-00261139E63B}" type="presParOf" srcId="{71D44227-6693-4043-A79F-A02312F1821A}" destId="{362BD53F-48EE-4E89-9895-70AC764E59E9}" srcOrd="2" destOrd="0" presId="urn:microsoft.com/office/officeart/2005/8/layout/orgChart1"/>
    <dgm:cxn modelId="{40DD85D1-6A02-4358-948F-1ECBFDCE2817}" type="presParOf" srcId="{AB242A9B-F1FA-4DFD-8291-E91F81B586EF}" destId="{C4BDA430-3057-4DBA-A47D-8784D72F271B}" srcOrd="8" destOrd="0" presId="urn:microsoft.com/office/officeart/2005/8/layout/orgChart1"/>
    <dgm:cxn modelId="{E2F91744-04B4-4AFF-8832-D82DAB8ADEAC}" type="presParOf" srcId="{AB242A9B-F1FA-4DFD-8291-E91F81B586EF}" destId="{B45FE4F7-F8B9-4A6D-ACB8-ED53B9705C40}" srcOrd="9" destOrd="0" presId="urn:microsoft.com/office/officeart/2005/8/layout/orgChart1"/>
    <dgm:cxn modelId="{8597CD7F-1AAC-46A9-AB07-4BE4D3FCA553}" type="presParOf" srcId="{B45FE4F7-F8B9-4A6D-ACB8-ED53B9705C40}" destId="{73702044-138C-4271-928D-E67F4602606C}" srcOrd="0" destOrd="0" presId="urn:microsoft.com/office/officeart/2005/8/layout/orgChart1"/>
    <dgm:cxn modelId="{3F80805D-677C-4185-85B3-948B92FE8ABD}" type="presParOf" srcId="{73702044-138C-4271-928D-E67F4602606C}" destId="{C584BC22-2A6E-46A2-BFDE-24AB80BD956F}" srcOrd="0" destOrd="0" presId="urn:microsoft.com/office/officeart/2005/8/layout/orgChart1"/>
    <dgm:cxn modelId="{C98153A5-631A-405D-85B8-764BF7059682}" type="presParOf" srcId="{73702044-138C-4271-928D-E67F4602606C}" destId="{EF1BEA73-363D-44EE-81B1-26B4D91AF99D}" srcOrd="1" destOrd="0" presId="urn:microsoft.com/office/officeart/2005/8/layout/orgChart1"/>
    <dgm:cxn modelId="{4DDDB77E-CAAA-4F62-99F0-7D980637B461}" type="presParOf" srcId="{B45FE4F7-F8B9-4A6D-ACB8-ED53B9705C40}" destId="{EC685CF4-6B68-4081-A0FB-02D9D897B3F0}" srcOrd="1" destOrd="0" presId="urn:microsoft.com/office/officeart/2005/8/layout/orgChart1"/>
    <dgm:cxn modelId="{9C535F80-8415-4D67-AC55-7C6E883AE11F}" type="presParOf" srcId="{B45FE4F7-F8B9-4A6D-ACB8-ED53B9705C40}" destId="{B5268637-327A-4F8F-A264-F8BCC4C0318C}" srcOrd="2" destOrd="0" presId="urn:microsoft.com/office/officeart/2005/8/layout/orgChart1"/>
    <dgm:cxn modelId="{65DA8157-7E0F-447D-BD31-ABF796BD593E}" type="presParOf" srcId="{AB242A9B-F1FA-4DFD-8291-E91F81B586EF}" destId="{F2EB8D95-A557-4B52-96DC-E79DEE05A683}" srcOrd="10" destOrd="0" presId="urn:microsoft.com/office/officeart/2005/8/layout/orgChart1"/>
    <dgm:cxn modelId="{33767A0B-577E-437A-8479-0197035AE987}" type="presParOf" srcId="{AB242A9B-F1FA-4DFD-8291-E91F81B586EF}" destId="{5983B155-BE34-48EF-8B6C-B8F23D12DEA3}" srcOrd="11" destOrd="0" presId="urn:microsoft.com/office/officeart/2005/8/layout/orgChart1"/>
    <dgm:cxn modelId="{FACCA1DF-896A-4409-A51A-D4BFF51B2E23}" type="presParOf" srcId="{5983B155-BE34-48EF-8B6C-B8F23D12DEA3}" destId="{5696C772-7B0F-447B-B267-44056D6A5114}" srcOrd="0" destOrd="0" presId="urn:microsoft.com/office/officeart/2005/8/layout/orgChart1"/>
    <dgm:cxn modelId="{FA80A7F3-A055-4DAE-ADB3-E4D3505C0BBC}" type="presParOf" srcId="{5696C772-7B0F-447B-B267-44056D6A5114}" destId="{9DA47146-C909-4CF2-AD7F-A76611B94CB5}" srcOrd="0" destOrd="0" presId="urn:microsoft.com/office/officeart/2005/8/layout/orgChart1"/>
    <dgm:cxn modelId="{7C6F85B7-791F-4458-B62B-78F586E5E7CD}" type="presParOf" srcId="{5696C772-7B0F-447B-B267-44056D6A5114}" destId="{5BF8BDAD-77A9-45B8-8780-773F299C0C70}" srcOrd="1" destOrd="0" presId="urn:microsoft.com/office/officeart/2005/8/layout/orgChart1"/>
    <dgm:cxn modelId="{FC76EDBC-D1DA-472F-B623-AD8169D2F0DE}" type="presParOf" srcId="{5983B155-BE34-48EF-8B6C-B8F23D12DEA3}" destId="{0863D0CB-EE40-4FBC-B9E9-7C713659A9BA}" srcOrd="1" destOrd="0" presId="urn:microsoft.com/office/officeart/2005/8/layout/orgChart1"/>
    <dgm:cxn modelId="{70BE6089-FD9B-4AB2-B87F-B6634F06045A}" type="presParOf" srcId="{5983B155-BE34-48EF-8B6C-B8F23D12DEA3}" destId="{D03C12DD-FDBC-4CC5-98BC-62B0FABB7253}" srcOrd="2" destOrd="0" presId="urn:microsoft.com/office/officeart/2005/8/layout/orgChart1"/>
    <dgm:cxn modelId="{832D81CA-7E49-484D-A37A-B0F35133E89C}" type="presParOf" srcId="{97745BC1-33B1-4AAD-B89D-4C659C3CB18E}" destId="{C78C2861-467D-4CB9-B394-B5BC7A017A6B}" srcOrd="2" destOrd="0" presId="urn:microsoft.com/office/officeart/2005/8/layout/orgChart1"/>
    <dgm:cxn modelId="{E8704240-1F16-4227-A3D2-2FD7965DF275}" type="presParOf" srcId="{B22347B0-A0C5-4947-AC70-458F4954410D}" destId="{D917566D-6505-4236-8F4D-2773908C664B}" srcOrd="2" destOrd="0" presId="urn:microsoft.com/office/officeart/2005/8/layout/orgChart1"/>
    <dgm:cxn modelId="{6FB78191-A0C4-43DB-B118-4D579D6FF068}" type="presParOf" srcId="{B22347B0-A0C5-4947-AC70-458F4954410D}" destId="{E41F0DF3-E683-47B4-B748-4DAC31243CA2}" srcOrd="3" destOrd="0" presId="urn:microsoft.com/office/officeart/2005/8/layout/orgChart1"/>
    <dgm:cxn modelId="{03C51D16-7CE2-4119-B878-6E3BCFE0F67F}" type="presParOf" srcId="{E41F0DF3-E683-47B4-B748-4DAC31243CA2}" destId="{EA08220D-871F-414D-92AA-215DEFC5909E}" srcOrd="0" destOrd="0" presId="urn:microsoft.com/office/officeart/2005/8/layout/orgChart1"/>
    <dgm:cxn modelId="{639CF114-2FA3-4603-BCEA-96CFC7CFA739}" type="presParOf" srcId="{EA08220D-871F-414D-92AA-215DEFC5909E}" destId="{AB1456F4-F0FF-4329-AD15-9DBB7268995A}" srcOrd="0" destOrd="0" presId="urn:microsoft.com/office/officeart/2005/8/layout/orgChart1"/>
    <dgm:cxn modelId="{069AA1ED-FAE6-4B94-A786-C4F4C734A7E5}" type="presParOf" srcId="{EA08220D-871F-414D-92AA-215DEFC5909E}" destId="{973D71D4-0B12-4409-BD0C-9424BD6EB666}" srcOrd="1" destOrd="0" presId="urn:microsoft.com/office/officeart/2005/8/layout/orgChart1"/>
    <dgm:cxn modelId="{0594A190-A0E0-4E2B-8DDC-4EFAB87825B7}" type="presParOf" srcId="{E41F0DF3-E683-47B4-B748-4DAC31243CA2}" destId="{DD0C9D8A-D15A-4037-A04B-B0578287762D}" srcOrd="1" destOrd="0" presId="urn:microsoft.com/office/officeart/2005/8/layout/orgChart1"/>
    <dgm:cxn modelId="{3DFC3759-23AB-4643-A4A0-09B3AE12AE42}" type="presParOf" srcId="{DD0C9D8A-D15A-4037-A04B-B0578287762D}" destId="{B6311F4C-13F6-4F71-8297-F13364EEF3B9}" srcOrd="0" destOrd="0" presId="urn:microsoft.com/office/officeart/2005/8/layout/orgChart1"/>
    <dgm:cxn modelId="{1AD6FF40-3ED8-4462-99E1-26C15335DA8E}" type="presParOf" srcId="{DD0C9D8A-D15A-4037-A04B-B0578287762D}" destId="{3F576BAC-92B5-4DF4-8CA6-47B6203A564E}" srcOrd="1" destOrd="0" presId="urn:microsoft.com/office/officeart/2005/8/layout/orgChart1"/>
    <dgm:cxn modelId="{293A642F-7B9A-4381-B70F-46290A47FA97}" type="presParOf" srcId="{3F576BAC-92B5-4DF4-8CA6-47B6203A564E}" destId="{98BBF901-91B1-4C7D-A3FF-AB6FF9D312B7}" srcOrd="0" destOrd="0" presId="urn:microsoft.com/office/officeart/2005/8/layout/orgChart1"/>
    <dgm:cxn modelId="{94E73DA8-51D0-4C82-843F-80CB9B967B91}" type="presParOf" srcId="{98BBF901-91B1-4C7D-A3FF-AB6FF9D312B7}" destId="{8345D5FE-94D5-4ECA-99E6-2E4449DC005D}" srcOrd="0" destOrd="0" presId="urn:microsoft.com/office/officeart/2005/8/layout/orgChart1"/>
    <dgm:cxn modelId="{4274D9D2-C595-4A37-9683-9E08A1E13420}" type="presParOf" srcId="{98BBF901-91B1-4C7D-A3FF-AB6FF9D312B7}" destId="{DD7D2C6A-C8DF-42BA-8790-AEAC5EC2DEF7}" srcOrd="1" destOrd="0" presId="urn:microsoft.com/office/officeart/2005/8/layout/orgChart1"/>
    <dgm:cxn modelId="{00BFDF96-6363-4A03-9C05-80FAB532174B}" type="presParOf" srcId="{3F576BAC-92B5-4DF4-8CA6-47B6203A564E}" destId="{0735E5A8-4EC1-45FD-814C-C48A8195A592}" srcOrd="1" destOrd="0" presId="urn:microsoft.com/office/officeart/2005/8/layout/orgChart1"/>
    <dgm:cxn modelId="{DE5A953D-C8FE-4247-BBE8-91092AE3778C}" type="presParOf" srcId="{3F576BAC-92B5-4DF4-8CA6-47B6203A564E}" destId="{EC172075-06D9-4272-8BF3-129529E9A638}" srcOrd="2" destOrd="0" presId="urn:microsoft.com/office/officeart/2005/8/layout/orgChart1"/>
    <dgm:cxn modelId="{0D6E13C3-FA54-4F01-81CE-DDB95427309B}" type="presParOf" srcId="{DD0C9D8A-D15A-4037-A04B-B0578287762D}" destId="{0360C749-D478-42E0-AE61-44CFD142BD07}" srcOrd="2" destOrd="0" presId="urn:microsoft.com/office/officeart/2005/8/layout/orgChart1"/>
    <dgm:cxn modelId="{4F89D252-7E3C-4E26-B2D5-B8F5F3A60C5B}" type="presParOf" srcId="{DD0C9D8A-D15A-4037-A04B-B0578287762D}" destId="{4423D9F1-CD0E-4DFA-8CFC-50637684D822}" srcOrd="3" destOrd="0" presId="urn:microsoft.com/office/officeart/2005/8/layout/orgChart1"/>
    <dgm:cxn modelId="{E22DD920-3F8A-49A0-A73C-B65DD0120B1A}" type="presParOf" srcId="{4423D9F1-CD0E-4DFA-8CFC-50637684D822}" destId="{BCC0704A-F913-4CA5-BF78-B1E70508C2D2}" srcOrd="0" destOrd="0" presId="urn:microsoft.com/office/officeart/2005/8/layout/orgChart1"/>
    <dgm:cxn modelId="{2EA297EE-A826-4764-83FD-C25D8018F3D3}" type="presParOf" srcId="{BCC0704A-F913-4CA5-BF78-B1E70508C2D2}" destId="{25473F50-7207-4EDC-84EF-7A6794CF77A6}" srcOrd="0" destOrd="0" presId="urn:microsoft.com/office/officeart/2005/8/layout/orgChart1"/>
    <dgm:cxn modelId="{7046FB3C-4CF0-4D43-8B6B-8976A39FED16}" type="presParOf" srcId="{BCC0704A-F913-4CA5-BF78-B1E70508C2D2}" destId="{F767F0FF-2D56-4A01-91F2-9DDFB0569C98}" srcOrd="1" destOrd="0" presId="urn:microsoft.com/office/officeart/2005/8/layout/orgChart1"/>
    <dgm:cxn modelId="{36D83D99-7BF5-4AE7-AFF3-628865662CD3}" type="presParOf" srcId="{4423D9F1-CD0E-4DFA-8CFC-50637684D822}" destId="{56865AF4-4491-4D63-A270-073D0F2FEF51}" srcOrd="1" destOrd="0" presId="urn:microsoft.com/office/officeart/2005/8/layout/orgChart1"/>
    <dgm:cxn modelId="{0282EB3F-66C8-4CCF-A593-E90584045C78}" type="presParOf" srcId="{4423D9F1-CD0E-4DFA-8CFC-50637684D822}" destId="{67386C21-E025-4FC5-8507-83B844520AAD}" srcOrd="2" destOrd="0" presId="urn:microsoft.com/office/officeart/2005/8/layout/orgChart1"/>
    <dgm:cxn modelId="{9E39B3D7-41E4-4D46-9C28-2A9BE61FA208}" type="presParOf" srcId="{DD0C9D8A-D15A-4037-A04B-B0578287762D}" destId="{DCDBD4CF-C1EA-4B1A-88B3-39C90DFFD05D}" srcOrd="4" destOrd="0" presId="urn:microsoft.com/office/officeart/2005/8/layout/orgChart1"/>
    <dgm:cxn modelId="{47AACB65-2A29-4526-B8DA-1FE5E9B1C5DD}" type="presParOf" srcId="{DD0C9D8A-D15A-4037-A04B-B0578287762D}" destId="{7CB3434E-D893-4FE9-878C-FE5AACDBCE76}" srcOrd="5" destOrd="0" presId="urn:microsoft.com/office/officeart/2005/8/layout/orgChart1"/>
    <dgm:cxn modelId="{DCF0A111-76F7-4978-9727-54150F18E608}" type="presParOf" srcId="{7CB3434E-D893-4FE9-878C-FE5AACDBCE76}" destId="{DF2EEC48-78B3-44DC-88E0-EC2A1ED26BB9}" srcOrd="0" destOrd="0" presId="urn:microsoft.com/office/officeart/2005/8/layout/orgChart1"/>
    <dgm:cxn modelId="{C1C1AAE0-A30B-4118-8DA2-2A512F7593BC}" type="presParOf" srcId="{DF2EEC48-78B3-44DC-88E0-EC2A1ED26BB9}" destId="{3C1E987B-0A7A-4FA0-88E9-F3C910D64BB8}" srcOrd="0" destOrd="0" presId="urn:microsoft.com/office/officeart/2005/8/layout/orgChart1"/>
    <dgm:cxn modelId="{B492065E-8CD4-40FE-9013-017DE0D4EA92}" type="presParOf" srcId="{DF2EEC48-78B3-44DC-88E0-EC2A1ED26BB9}" destId="{77C91999-6B3B-4531-B906-0939A4B2A06E}" srcOrd="1" destOrd="0" presId="urn:microsoft.com/office/officeart/2005/8/layout/orgChart1"/>
    <dgm:cxn modelId="{92EA5664-251D-479B-AF86-D767DCEB4972}" type="presParOf" srcId="{7CB3434E-D893-4FE9-878C-FE5AACDBCE76}" destId="{41F5E7D8-F6AF-4721-B519-24C57FFAFED9}" srcOrd="1" destOrd="0" presId="urn:microsoft.com/office/officeart/2005/8/layout/orgChart1"/>
    <dgm:cxn modelId="{7D14B33F-0C27-404B-A949-CA8D4759975B}" type="presParOf" srcId="{7CB3434E-D893-4FE9-878C-FE5AACDBCE76}" destId="{C1FF56CC-74BE-4806-99D4-7BA217613DFD}" srcOrd="2" destOrd="0" presId="urn:microsoft.com/office/officeart/2005/8/layout/orgChart1"/>
    <dgm:cxn modelId="{6D6E4D54-5CE6-405D-8959-31FFDAAD6E5B}" type="presParOf" srcId="{DD0C9D8A-D15A-4037-A04B-B0578287762D}" destId="{098DB473-CC45-4119-A431-525EE4D7DFFC}" srcOrd="6" destOrd="0" presId="urn:microsoft.com/office/officeart/2005/8/layout/orgChart1"/>
    <dgm:cxn modelId="{7842D4D0-DB05-4957-9437-2F6E8C283019}" type="presParOf" srcId="{DD0C9D8A-D15A-4037-A04B-B0578287762D}" destId="{493FAE3D-A3DA-44A9-A9B5-8B04DDFBFF44}" srcOrd="7" destOrd="0" presId="urn:microsoft.com/office/officeart/2005/8/layout/orgChart1"/>
    <dgm:cxn modelId="{40D670A9-C14E-4FD7-A962-665209F4A6BC}" type="presParOf" srcId="{493FAE3D-A3DA-44A9-A9B5-8B04DDFBFF44}" destId="{E312142A-61E2-471F-A21B-0885D360D630}" srcOrd="0" destOrd="0" presId="urn:microsoft.com/office/officeart/2005/8/layout/orgChart1"/>
    <dgm:cxn modelId="{93DDAEAC-4DCF-4D35-8790-28E3E304A51D}" type="presParOf" srcId="{E312142A-61E2-471F-A21B-0885D360D630}" destId="{4B8FAE12-19D4-4C4E-862B-4CCDE031A62C}" srcOrd="0" destOrd="0" presId="urn:microsoft.com/office/officeart/2005/8/layout/orgChart1"/>
    <dgm:cxn modelId="{D31CBB39-C3E4-448F-B331-35CB1D7631DA}" type="presParOf" srcId="{E312142A-61E2-471F-A21B-0885D360D630}" destId="{0C897CE4-C8C6-44F3-9855-6EFC273BFD9B}" srcOrd="1" destOrd="0" presId="urn:microsoft.com/office/officeart/2005/8/layout/orgChart1"/>
    <dgm:cxn modelId="{FDCF953F-1C32-4BD1-9015-B1F32C0FD2C5}" type="presParOf" srcId="{493FAE3D-A3DA-44A9-A9B5-8B04DDFBFF44}" destId="{B82DE0E6-EDFA-40BB-9937-660BB40C5893}" srcOrd="1" destOrd="0" presId="urn:microsoft.com/office/officeart/2005/8/layout/orgChart1"/>
    <dgm:cxn modelId="{72BABFD8-E3F1-456F-B791-9E1D979B0506}" type="presParOf" srcId="{493FAE3D-A3DA-44A9-A9B5-8B04DDFBFF44}" destId="{D4316EBB-0A3B-47B2-9420-B86B06E5C47C}" srcOrd="2" destOrd="0" presId="urn:microsoft.com/office/officeart/2005/8/layout/orgChart1"/>
    <dgm:cxn modelId="{A66C137A-96DE-46E3-96AF-8716A9271D8D}" type="presParOf" srcId="{E41F0DF3-E683-47B4-B748-4DAC31243CA2}" destId="{5659D8AD-0CAC-49B7-B222-D78A2A8FD2F6}" srcOrd="2" destOrd="0" presId="urn:microsoft.com/office/officeart/2005/8/layout/orgChart1"/>
    <dgm:cxn modelId="{1B74DA1B-500C-4EAD-960A-1E3877A9F455}" type="presParOf" srcId="{B22347B0-A0C5-4947-AC70-458F4954410D}" destId="{90F2F394-C6B7-4E2B-B578-EC843121D870}" srcOrd="4" destOrd="0" presId="urn:microsoft.com/office/officeart/2005/8/layout/orgChart1"/>
    <dgm:cxn modelId="{DDDC5D0F-96B1-4F57-A649-13C6CBB690C6}" type="presParOf" srcId="{B22347B0-A0C5-4947-AC70-458F4954410D}" destId="{2E158438-6755-4AC9-A109-AA8A1AA54078}" srcOrd="5" destOrd="0" presId="urn:microsoft.com/office/officeart/2005/8/layout/orgChart1"/>
    <dgm:cxn modelId="{844B103C-F210-4ACB-B441-B3222DC61317}" type="presParOf" srcId="{2E158438-6755-4AC9-A109-AA8A1AA54078}" destId="{FF625A00-6860-40CC-92E6-69389DDE9DD9}" srcOrd="0" destOrd="0" presId="urn:microsoft.com/office/officeart/2005/8/layout/orgChart1"/>
    <dgm:cxn modelId="{9FFE54E3-E401-4F16-9E31-B265CB1308BA}" type="presParOf" srcId="{FF625A00-6860-40CC-92E6-69389DDE9DD9}" destId="{8F47ADB1-00FA-4A31-B539-EEF38657D0C1}" srcOrd="0" destOrd="0" presId="urn:microsoft.com/office/officeart/2005/8/layout/orgChart1"/>
    <dgm:cxn modelId="{B43AF843-2D71-4CD7-8DB3-7BD6D861CCA7}" type="presParOf" srcId="{FF625A00-6860-40CC-92E6-69389DDE9DD9}" destId="{70B28074-65EB-4E80-80F2-ED870366EAA1}" srcOrd="1" destOrd="0" presId="urn:microsoft.com/office/officeart/2005/8/layout/orgChart1"/>
    <dgm:cxn modelId="{4CF57C7F-E62D-4B6A-B75A-8EA9B224C62E}" type="presParOf" srcId="{2E158438-6755-4AC9-A109-AA8A1AA54078}" destId="{892B9CC2-1D60-496A-A1D6-1A84720CB10A}" srcOrd="1" destOrd="0" presId="urn:microsoft.com/office/officeart/2005/8/layout/orgChart1"/>
    <dgm:cxn modelId="{CEF741F0-E2B1-4F2F-B760-73E62388DC51}" type="presParOf" srcId="{892B9CC2-1D60-496A-A1D6-1A84720CB10A}" destId="{79F6C693-ECFD-4066-8F75-2F17B9E8547C}" srcOrd="0" destOrd="0" presId="urn:microsoft.com/office/officeart/2005/8/layout/orgChart1"/>
    <dgm:cxn modelId="{F6C96E4E-E53F-456A-9006-F82411780B9D}" type="presParOf" srcId="{892B9CC2-1D60-496A-A1D6-1A84720CB10A}" destId="{5BA7D9BC-8EF5-4DF4-96D0-DEC8EC20259B}" srcOrd="1" destOrd="0" presId="urn:microsoft.com/office/officeart/2005/8/layout/orgChart1"/>
    <dgm:cxn modelId="{539A00A1-2EC0-44E7-A32F-248F9537075C}" type="presParOf" srcId="{5BA7D9BC-8EF5-4DF4-96D0-DEC8EC20259B}" destId="{E45D38FF-3999-4199-B7A8-25377B7B2071}" srcOrd="0" destOrd="0" presId="urn:microsoft.com/office/officeart/2005/8/layout/orgChart1"/>
    <dgm:cxn modelId="{1178B5D1-08FE-41B0-A98E-CD2112770CC4}" type="presParOf" srcId="{E45D38FF-3999-4199-B7A8-25377B7B2071}" destId="{AD0CE90D-3811-4C4A-AA8C-FF8EDFC59D2A}" srcOrd="0" destOrd="0" presId="urn:microsoft.com/office/officeart/2005/8/layout/orgChart1"/>
    <dgm:cxn modelId="{54E9485D-53C8-4F1C-808A-F8FCC9307035}" type="presParOf" srcId="{E45D38FF-3999-4199-B7A8-25377B7B2071}" destId="{0A5B7267-27C9-47C0-BE2C-B1F733517DBD}" srcOrd="1" destOrd="0" presId="urn:microsoft.com/office/officeart/2005/8/layout/orgChart1"/>
    <dgm:cxn modelId="{D5C185C0-A8A5-41EC-A638-4C18285FA9AD}" type="presParOf" srcId="{5BA7D9BC-8EF5-4DF4-96D0-DEC8EC20259B}" destId="{6A691CB6-CF10-4609-A35D-A802BC7EA2A2}" srcOrd="1" destOrd="0" presId="urn:microsoft.com/office/officeart/2005/8/layout/orgChart1"/>
    <dgm:cxn modelId="{2752E4BC-5315-4FBC-A784-808D1884EC99}" type="presParOf" srcId="{5BA7D9BC-8EF5-4DF4-96D0-DEC8EC20259B}" destId="{A131F5ED-63A5-4BF6-90F4-1F85EDC2FAF6}" srcOrd="2" destOrd="0" presId="urn:microsoft.com/office/officeart/2005/8/layout/orgChart1"/>
    <dgm:cxn modelId="{2F945E30-A9C0-402A-9102-D506AA815B80}" type="presParOf" srcId="{892B9CC2-1D60-496A-A1D6-1A84720CB10A}" destId="{199EE967-76A6-4726-A2F7-A00CB2A94FE6}" srcOrd="2" destOrd="0" presId="urn:microsoft.com/office/officeart/2005/8/layout/orgChart1"/>
    <dgm:cxn modelId="{0FFCB101-E4D0-4B0E-8F1B-36580B1AC3C5}" type="presParOf" srcId="{892B9CC2-1D60-496A-A1D6-1A84720CB10A}" destId="{448D835B-A874-46FE-BDE4-3C89933D8731}" srcOrd="3" destOrd="0" presId="urn:microsoft.com/office/officeart/2005/8/layout/orgChart1"/>
    <dgm:cxn modelId="{4E8E092D-6CF6-4BEC-8E8D-33FEF13454B7}" type="presParOf" srcId="{448D835B-A874-46FE-BDE4-3C89933D8731}" destId="{5253752E-4B77-486E-A982-46F77898BFEF}" srcOrd="0" destOrd="0" presId="urn:microsoft.com/office/officeart/2005/8/layout/orgChart1"/>
    <dgm:cxn modelId="{5AB6371B-1ACD-438F-AF5A-D4A2A051985D}" type="presParOf" srcId="{5253752E-4B77-486E-A982-46F77898BFEF}" destId="{8C29E694-4982-42F4-BF89-D86DD6716899}" srcOrd="0" destOrd="0" presId="urn:microsoft.com/office/officeart/2005/8/layout/orgChart1"/>
    <dgm:cxn modelId="{D7363E54-FFEE-480A-8DB5-0948B3A95EDC}" type="presParOf" srcId="{5253752E-4B77-486E-A982-46F77898BFEF}" destId="{4328C16C-D82E-48A3-AD92-FA3033C469E3}" srcOrd="1" destOrd="0" presId="urn:microsoft.com/office/officeart/2005/8/layout/orgChart1"/>
    <dgm:cxn modelId="{EE4F56B7-9EB5-4DD8-8C65-4109B19768E6}" type="presParOf" srcId="{448D835B-A874-46FE-BDE4-3C89933D8731}" destId="{125200A6-43B4-4720-9896-15C9C01D9AE3}" srcOrd="1" destOrd="0" presId="urn:microsoft.com/office/officeart/2005/8/layout/orgChart1"/>
    <dgm:cxn modelId="{356BB5ED-AF59-45C6-9E04-C60E4CA224D8}" type="presParOf" srcId="{448D835B-A874-46FE-BDE4-3C89933D8731}" destId="{3461A7CB-76C2-41BC-B9D3-E0977C04C773}" srcOrd="2" destOrd="0" presId="urn:microsoft.com/office/officeart/2005/8/layout/orgChart1"/>
    <dgm:cxn modelId="{314EFC2B-944E-478B-ABD9-98860A926FEF}" type="presParOf" srcId="{892B9CC2-1D60-496A-A1D6-1A84720CB10A}" destId="{F1D409E8-50FF-4C7B-BC90-7D86CBD5AE53}" srcOrd="4" destOrd="0" presId="urn:microsoft.com/office/officeart/2005/8/layout/orgChart1"/>
    <dgm:cxn modelId="{0EAFFACE-D5FF-443B-B4E9-3D5A1934583C}" type="presParOf" srcId="{892B9CC2-1D60-496A-A1D6-1A84720CB10A}" destId="{B287B508-AA77-4FB6-A8D7-F14CC174C600}" srcOrd="5" destOrd="0" presId="urn:microsoft.com/office/officeart/2005/8/layout/orgChart1"/>
    <dgm:cxn modelId="{E3FC4F88-8D64-4D93-95F0-7BC9B1CF9790}" type="presParOf" srcId="{B287B508-AA77-4FB6-A8D7-F14CC174C600}" destId="{A0C0CAAB-82D6-4046-B101-730554DF8F9D}" srcOrd="0" destOrd="0" presId="urn:microsoft.com/office/officeart/2005/8/layout/orgChart1"/>
    <dgm:cxn modelId="{4C5495BC-8CA3-4759-87CC-CCD22CE59921}" type="presParOf" srcId="{A0C0CAAB-82D6-4046-B101-730554DF8F9D}" destId="{7388EE8E-E9D6-4383-88F5-CC6E1CD6D8D3}" srcOrd="0" destOrd="0" presId="urn:microsoft.com/office/officeart/2005/8/layout/orgChart1"/>
    <dgm:cxn modelId="{6F848228-184B-453F-80DF-23BAFDEBDAA0}" type="presParOf" srcId="{A0C0CAAB-82D6-4046-B101-730554DF8F9D}" destId="{1A6B1E92-BAC0-4F4B-933B-5174B68264CD}" srcOrd="1" destOrd="0" presId="urn:microsoft.com/office/officeart/2005/8/layout/orgChart1"/>
    <dgm:cxn modelId="{3211A79E-1502-4D81-8E74-72339EFBCF82}" type="presParOf" srcId="{B287B508-AA77-4FB6-A8D7-F14CC174C600}" destId="{5BC3A5E8-320F-42B9-A4B7-77C45E8E15D3}" srcOrd="1" destOrd="0" presId="urn:microsoft.com/office/officeart/2005/8/layout/orgChart1"/>
    <dgm:cxn modelId="{0FCC692C-DE2A-4AA6-82F5-358605DB914A}" type="presParOf" srcId="{B287B508-AA77-4FB6-A8D7-F14CC174C600}" destId="{0141BD36-11B0-44FB-9D50-5BA1AF2A44CD}" srcOrd="2" destOrd="0" presId="urn:microsoft.com/office/officeart/2005/8/layout/orgChart1"/>
    <dgm:cxn modelId="{4EEA790F-D833-4465-AA46-BCF5F81AA286}" type="presParOf" srcId="{2E158438-6755-4AC9-A109-AA8A1AA54078}" destId="{C7E34854-558F-47F6-BF4B-0A9A6BFCA3DC}" srcOrd="2" destOrd="0" presId="urn:microsoft.com/office/officeart/2005/8/layout/orgChart1"/>
    <dgm:cxn modelId="{93E38867-3CF6-4C89-A1C7-17A9BE4BCE12}" type="presParOf" srcId="{B22347B0-A0C5-4947-AC70-458F4954410D}" destId="{E680F636-4031-4A28-9DA5-B69E39F1976C}" srcOrd="6" destOrd="0" presId="urn:microsoft.com/office/officeart/2005/8/layout/orgChart1"/>
    <dgm:cxn modelId="{C0B3863D-83FA-482D-B5E8-9F2A5E34F501}" type="presParOf" srcId="{B22347B0-A0C5-4947-AC70-458F4954410D}" destId="{3A789077-BACE-4D4B-B3C1-DF4E2646AD78}" srcOrd="7" destOrd="0" presId="urn:microsoft.com/office/officeart/2005/8/layout/orgChart1"/>
    <dgm:cxn modelId="{F9F8911B-C5D4-445B-83CE-E793D952E5D5}" type="presParOf" srcId="{3A789077-BACE-4D4B-B3C1-DF4E2646AD78}" destId="{7FDA5371-E833-4501-BE55-414299D16C6E}" srcOrd="0" destOrd="0" presId="urn:microsoft.com/office/officeart/2005/8/layout/orgChart1"/>
    <dgm:cxn modelId="{C4CF125B-154D-49B4-BBFD-3A0E1F409826}" type="presParOf" srcId="{7FDA5371-E833-4501-BE55-414299D16C6E}" destId="{D08B1808-4605-44EE-AC96-26FD2C104552}" srcOrd="0" destOrd="0" presId="urn:microsoft.com/office/officeart/2005/8/layout/orgChart1"/>
    <dgm:cxn modelId="{5E631399-A0F8-47E7-85F1-BF8FCF013998}" type="presParOf" srcId="{7FDA5371-E833-4501-BE55-414299D16C6E}" destId="{E82F516F-1CDB-4469-9EDC-6F99AC26BA60}" srcOrd="1" destOrd="0" presId="urn:microsoft.com/office/officeart/2005/8/layout/orgChart1"/>
    <dgm:cxn modelId="{5D62B288-BF16-43D2-BD0D-959305DDC3F1}" type="presParOf" srcId="{3A789077-BACE-4D4B-B3C1-DF4E2646AD78}" destId="{D580CC93-613D-48F4-A8D8-54FF855909AA}" srcOrd="1" destOrd="0" presId="urn:microsoft.com/office/officeart/2005/8/layout/orgChart1"/>
    <dgm:cxn modelId="{CF464D4A-7BB7-4F6F-8648-D31FDB23558F}" type="presParOf" srcId="{D580CC93-613D-48F4-A8D8-54FF855909AA}" destId="{1B7D88EF-6DF5-476E-A80A-7A6427BB5766}" srcOrd="0" destOrd="0" presId="urn:microsoft.com/office/officeart/2005/8/layout/orgChart1"/>
    <dgm:cxn modelId="{44F2BC83-FA10-458A-AE74-F1A399D77757}" type="presParOf" srcId="{D580CC93-613D-48F4-A8D8-54FF855909AA}" destId="{5BBB94EA-3D19-4EAF-BB6C-4F82369C5C36}" srcOrd="1" destOrd="0" presId="urn:microsoft.com/office/officeart/2005/8/layout/orgChart1"/>
    <dgm:cxn modelId="{E71970EB-4BCC-4D21-BB5E-50287E3CD51A}" type="presParOf" srcId="{5BBB94EA-3D19-4EAF-BB6C-4F82369C5C36}" destId="{B97F3AF9-D2A7-4E62-BF15-F48D7948FB24}" srcOrd="0" destOrd="0" presId="urn:microsoft.com/office/officeart/2005/8/layout/orgChart1"/>
    <dgm:cxn modelId="{BCEE397F-0912-46B3-A95A-13559930D004}" type="presParOf" srcId="{B97F3AF9-D2A7-4E62-BF15-F48D7948FB24}" destId="{565668DF-700F-4C21-BFE1-61679F60C467}" srcOrd="0" destOrd="0" presId="urn:microsoft.com/office/officeart/2005/8/layout/orgChart1"/>
    <dgm:cxn modelId="{33B840BE-DD84-4229-939E-B00EA1F0F3A2}" type="presParOf" srcId="{B97F3AF9-D2A7-4E62-BF15-F48D7948FB24}" destId="{4F24D2CA-ABF8-4074-90F1-D971C6D06586}" srcOrd="1" destOrd="0" presId="urn:microsoft.com/office/officeart/2005/8/layout/orgChart1"/>
    <dgm:cxn modelId="{6B5CC8DA-3198-4C44-821E-54FDD5A3D228}" type="presParOf" srcId="{5BBB94EA-3D19-4EAF-BB6C-4F82369C5C36}" destId="{A181308A-7A32-4323-A5CF-83CECFFE6496}" srcOrd="1" destOrd="0" presId="urn:microsoft.com/office/officeart/2005/8/layout/orgChart1"/>
    <dgm:cxn modelId="{C6C74D20-9DFF-411B-AB08-FE7E94AD6B32}" type="presParOf" srcId="{5BBB94EA-3D19-4EAF-BB6C-4F82369C5C36}" destId="{673182FF-41D4-40F1-9DBE-C3D7CD7A0D65}" srcOrd="2" destOrd="0" presId="urn:microsoft.com/office/officeart/2005/8/layout/orgChart1"/>
    <dgm:cxn modelId="{4F76C421-89B7-41B1-9F8D-6C2089A0F411}" type="presParOf" srcId="{D580CC93-613D-48F4-A8D8-54FF855909AA}" destId="{5662163E-86C0-4D8C-BB0D-F09FD90504F1}" srcOrd="2" destOrd="0" presId="urn:microsoft.com/office/officeart/2005/8/layout/orgChart1"/>
    <dgm:cxn modelId="{8347CA29-CB18-47FD-B74A-4128E7BA28F2}" type="presParOf" srcId="{D580CC93-613D-48F4-A8D8-54FF855909AA}" destId="{5F8FFAA9-C08D-4EEA-A222-4DB4F98F8532}" srcOrd="3" destOrd="0" presId="urn:microsoft.com/office/officeart/2005/8/layout/orgChart1"/>
    <dgm:cxn modelId="{2660801D-32AA-4A68-8B48-989213435A77}" type="presParOf" srcId="{5F8FFAA9-C08D-4EEA-A222-4DB4F98F8532}" destId="{37993555-D5EB-40F5-90C7-1999E38C3C81}" srcOrd="0" destOrd="0" presId="urn:microsoft.com/office/officeart/2005/8/layout/orgChart1"/>
    <dgm:cxn modelId="{32F5261F-7A82-4C42-BF85-FEAB333FB70D}" type="presParOf" srcId="{37993555-D5EB-40F5-90C7-1999E38C3C81}" destId="{D2CD276E-EB36-4AD9-92D7-191ABB2939D2}" srcOrd="0" destOrd="0" presId="urn:microsoft.com/office/officeart/2005/8/layout/orgChart1"/>
    <dgm:cxn modelId="{2E6BB277-09E1-44AC-8502-683185614130}" type="presParOf" srcId="{37993555-D5EB-40F5-90C7-1999E38C3C81}" destId="{F3D70145-025A-4356-BF43-46E45FB2A3A7}" srcOrd="1" destOrd="0" presId="urn:microsoft.com/office/officeart/2005/8/layout/orgChart1"/>
    <dgm:cxn modelId="{C5CD56DF-B3C1-4B94-AF2C-51A2AA05D037}" type="presParOf" srcId="{5F8FFAA9-C08D-4EEA-A222-4DB4F98F8532}" destId="{C6EC2741-22F6-487D-B367-E130888D723A}" srcOrd="1" destOrd="0" presId="urn:microsoft.com/office/officeart/2005/8/layout/orgChart1"/>
    <dgm:cxn modelId="{EB95DF0C-0A7D-4DFB-BA67-2917B3AA7593}" type="presParOf" srcId="{5F8FFAA9-C08D-4EEA-A222-4DB4F98F8532}" destId="{28D9470F-523C-4DF2-AD5E-22EFC5A34B51}" srcOrd="2" destOrd="0" presId="urn:microsoft.com/office/officeart/2005/8/layout/orgChart1"/>
    <dgm:cxn modelId="{D6877E6D-E11C-4920-AF00-62A9389A6E5E}" type="presParOf" srcId="{D580CC93-613D-48F4-A8D8-54FF855909AA}" destId="{8EBDDFD3-45F6-47F9-BD48-49DFF5F4A9D9}" srcOrd="4" destOrd="0" presId="urn:microsoft.com/office/officeart/2005/8/layout/orgChart1"/>
    <dgm:cxn modelId="{56792F20-87C7-425C-924E-C6FBDAD792CD}" type="presParOf" srcId="{D580CC93-613D-48F4-A8D8-54FF855909AA}" destId="{C23190CC-D567-4DBD-9E98-6D26F6B0D889}" srcOrd="5" destOrd="0" presId="urn:microsoft.com/office/officeart/2005/8/layout/orgChart1"/>
    <dgm:cxn modelId="{FABA79A7-3FC5-4067-AB0A-40A845E18CCF}" type="presParOf" srcId="{C23190CC-D567-4DBD-9E98-6D26F6B0D889}" destId="{C03E5361-6B3D-4620-BCEC-BB0FB362CCB2}" srcOrd="0" destOrd="0" presId="urn:microsoft.com/office/officeart/2005/8/layout/orgChart1"/>
    <dgm:cxn modelId="{CB3C656A-CACD-4919-B8D4-53A4F3FAB033}" type="presParOf" srcId="{C03E5361-6B3D-4620-BCEC-BB0FB362CCB2}" destId="{570867D6-0A65-4BEF-BA4D-404495EF0934}" srcOrd="0" destOrd="0" presId="urn:microsoft.com/office/officeart/2005/8/layout/orgChart1"/>
    <dgm:cxn modelId="{996AB2FB-67C8-4F0C-9000-71E70A32E82A}" type="presParOf" srcId="{C03E5361-6B3D-4620-BCEC-BB0FB362CCB2}" destId="{B40DCBC3-4826-4131-A821-066665B46164}" srcOrd="1" destOrd="0" presId="urn:microsoft.com/office/officeart/2005/8/layout/orgChart1"/>
    <dgm:cxn modelId="{AC0F25B2-53E3-414C-90F6-D7687719F152}" type="presParOf" srcId="{C23190CC-D567-4DBD-9E98-6D26F6B0D889}" destId="{B8B9AC9B-D028-46D4-9D06-D004D6CF75E1}" srcOrd="1" destOrd="0" presId="urn:microsoft.com/office/officeart/2005/8/layout/orgChart1"/>
    <dgm:cxn modelId="{DC7D826D-F41A-40C8-8075-644A6CFE9EF3}" type="presParOf" srcId="{C23190CC-D567-4DBD-9E98-6D26F6B0D889}" destId="{EDB34DE4-D9FB-482F-A774-7E177B2C4B48}" srcOrd="2" destOrd="0" presId="urn:microsoft.com/office/officeart/2005/8/layout/orgChart1"/>
    <dgm:cxn modelId="{9DDE7F9F-1205-4D68-B51A-5BEC73597493}" type="presParOf" srcId="{D580CC93-613D-48F4-A8D8-54FF855909AA}" destId="{97EE81ED-71AC-4A93-9720-080A9F5AC8F1}" srcOrd="6" destOrd="0" presId="urn:microsoft.com/office/officeart/2005/8/layout/orgChart1"/>
    <dgm:cxn modelId="{78D32952-7F42-4394-8EAA-32BEE7BE1C83}" type="presParOf" srcId="{D580CC93-613D-48F4-A8D8-54FF855909AA}" destId="{133CD979-E5EA-431A-8835-381C267E3F95}" srcOrd="7" destOrd="0" presId="urn:microsoft.com/office/officeart/2005/8/layout/orgChart1"/>
    <dgm:cxn modelId="{9DD3A482-70A0-40CD-9AB4-4F19C64D5CA1}" type="presParOf" srcId="{133CD979-E5EA-431A-8835-381C267E3F95}" destId="{1C47E9B7-E28B-49C5-9997-F76228BBCC76}" srcOrd="0" destOrd="0" presId="urn:microsoft.com/office/officeart/2005/8/layout/orgChart1"/>
    <dgm:cxn modelId="{0B68DC51-0698-4873-A16C-B6651A370EA9}" type="presParOf" srcId="{1C47E9B7-E28B-49C5-9997-F76228BBCC76}" destId="{3574D4EE-39C1-4931-80B5-8BF2858B42D7}" srcOrd="0" destOrd="0" presId="urn:microsoft.com/office/officeart/2005/8/layout/orgChart1"/>
    <dgm:cxn modelId="{2C677B05-F61C-4CF7-9F25-674C6FF3A44F}" type="presParOf" srcId="{1C47E9B7-E28B-49C5-9997-F76228BBCC76}" destId="{03A0AA24-E333-4197-9EFD-6A4571341834}" srcOrd="1" destOrd="0" presId="urn:microsoft.com/office/officeart/2005/8/layout/orgChart1"/>
    <dgm:cxn modelId="{DFDEF394-8E72-45ED-BD0D-0DA0C68306E7}" type="presParOf" srcId="{133CD979-E5EA-431A-8835-381C267E3F95}" destId="{AF6FACDC-FAD6-4A88-BBEF-B50C25F87497}" srcOrd="1" destOrd="0" presId="urn:microsoft.com/office/officeart/2005/8/layout/orgChart1"/>
    <dgm:cxn modelId="{DBCB3FBA-31FF-4248-866A-C02DB999F7CE}" type="presParOf" srcId="{133CD979-E5EA-431A-8835-381C267E3F95}" destId="{5B487D19-D98F-4737-91B8-58C164A554F6}" srcOrd="2" destOrd="0" presId="urn:microsoft.com/office/officeart/2005/8/layout/orgChart1"/>
    <dgm:cxn modelId="{6F18ED38-73D8-4356-94A8-34C898282DB1}" type="presParOf" srcId="{3A789077-BACE-4D4B-B3C1-DF4E2646AD78}" destId="{20CF9FB5-EED7-40F9-869B-82F0968FC2C6}" srcOrd="2" destOrd="0" presId="urn:microsoft.com/office/officeart/2005/8/layout/orgChart1"/>
    <dgm:cxn modelId="{7D01B9E2-DD87-4F84-9DF2-DC8CFBF6C420}" type="presParOf" srcId="{C6127537-0B29-4740-83E6-D5BC2CC9DFC3}" destId="{7A851033-6079-4A8B-8EA3-47B402C29C91}" srcOrd="2" destOrd="0" presId="urn:microsoft.com/office/officeart/2005/8/layout/orgChart1"/>
    <dgm:cxn modelId="{0C3FD1CE-4AB7-4495-961B-B52E38E79070}" type="presParOf" srcId="{87783880-6501-4E4C-A767-CBA61EDD6660}" destId="{61651D26-FC8C-4FB1-B956-E1C38AC9D1CE}" srcOrd="2" destOrd="0" presId="urn:microsoft.com/office/officeart/2005/8/layout/orgChart1"/>
    <dgm:cxn modelId="{D1C93456-B119-4300-9545-6B747851F85D}" type="presParOf" srcId="{87783880-6501-4E4C-A767-CBA61EDD6660}" destId="{42FEE44A-09A8-4FE9-B193-042A488840E8}" srcOrd="3" destOrd="0" presId="urn:microsoft.com/office/officeart/2005/8/layout/orgChart1"/>
    <dgm:cxn modelId="{64A9D8A5-8D70-405D-8C93-9A3C685E73D6}" type="presParOf" srcId="{42FEE44A-09A8-4FE9-B193-042A488840E8}" destId="{D88E91EB-0251-4408-8AC9-254C03966308}" srcOrd="0" destOrd="0" presId="urn:microsoft.com/office/officeart/2005/8/layout/orgChart1"/>
    <dgm:cxn modelId="{D4C9FC51-D1EF-4AD5-842A-212AB674DE01}" type="presParOf" srcId="{D88E91EB-0251-4408-8AC9-254C03966308}" destId="{145302FE-192E-4D67-A128-CB82735937E1}" srcOrd="0" destOrd="0" presId="urn:microsoft.com/office/officeart/2005/8/layout/orgChart1"/>
    <dgm:cxn modelId="{F8099AF8-4011-4302-95CF-F8B77165A5B2}" type="presParOf" srcId="{D88E91EB-0251-4408-8AC9-254C03966308}" destId="{3400DA90-86C9-4E5E-9172-942EF99CFEE0}" srcOrd="1" destOrd="0" presId="urn:microsoft.com/office/officeart/2005/8/layout/orgChart1"/>
    <dgm:cxn modelId="{C30610CD-BB52-42BC-A40B-C458241FC2DF}" type="presParOf" srcId="{42FEE44A-09A8-4FE9-B193-042A488840E8}" destId="{6A1E9CBE-02C3-4FE3-A3E4-39C9A72ADF45}" srcOrd="1" destOrd="0" presId="urn:microsoft.com/office/officeart/2005/8/layout/orgChart1"/>
    <dgm:cxn modelId="{C40DA4A9-4B9C-4B69-8A1C-AB893B57B308}" type="presParOf" srcId="{6A1E9CBE-02C3-4FE3-A3E4-39C9A72ADF45}" destId="{45C23A21-526D-4995-80E9-F0D07310475C}" srcOrd="0" destOrd="0" presId="urn:microsoft.com/office/officeart/2005/8/layout/orgChart1"/>
    <dgm:cxn modelId="{3187C6ED-A1F0-4820-8507-509CC52D5143}" type="presParOf" srcId="{6A1E9CBE-02C3-4FE3-A3E4-39C9A72ADF45}" destId="{EF68E813-4563-4143-9918-9080178E09EF}" srcOrd="1" destOrd="0" presId="urn:microsoft.com/office/officeart/2005/8/layout/orgChart1"/>
    <dgm:cxn modelId="{C30DD34A-83A7-4F5A-8420-8E465945BD91}" type="presParOf" srcId="{EF68E813-4563-4143-9918-9080178E09EF}" destId="{04CA967E-C18A-431E-B86C-140C7E498434}" srcOrd="0" destOrd="0" presId="urn:microsoft.com/office/officeart/2005/8/layout/orgChart1"/>
    <dgm:cxn modelId="{EFB69139-DD02-4689-BE3D-83D542785B92}" type="presParOf" srcId="{04CA967E-C18A-431E-B86C-140C7E498434}" destId="{486ED79C-08D3-4DE9-B07C-278B2AD7B158}" srcOrd="0" destOrd="0" presId="urn:microsoft.com/office/officeart/2005/8/layout/orgChart1"/>
    <dgm:cxn modelId="{A9AA0281-B8C2-49A0-8B50-E195C43C48D9}" type="presParOf" srcId="{04CA967E-C18A-431E-B86C-140C7E498434}" destId="{3FF6665E-2E66-477B-AF1C-30A37EC41554}" srcOrd="1" destOrd="0" presId="urn:microsoft.com/office/officeart/2005/8/layout/orgChart1"/>
    <dgm:cxn modelId="{DA81DB66-A99E-464C-AF39-89350B9971EE}" type="presParOf" srcId="{EF68E813-4563-4143-9918-9080178E09EF}" destId="{FB0399E9-DF52-4978-91EE-36B5D599D4FD}" srcOrd="1" destOrd="0" presId="urn:microsoft.com/office/officeart/2005/8/layout/orgChart1"/>
    <dgm:cxn modelId="{229F906B-E4BA-4388-B8C2-3DCB93FE20D7}" type="presParOf" srcId="{FB0399E9-DF52-4978-91EE-36B5D599D4FD}" destId="{76EDC1CA-E2CE-4E06-B869-7414CB80862D}" srcOrd="0" destOrd="0" presId="urn:microsoft.com/office/officeart/2005/8/layout/orgChart1"/>
    <dgm:cxn modelId="{8B423277-3D75-4D61-BB94-D7904E6B5DE9}" type="presParOf" srcId="{FB0399E9-DF52-4978-91EE-36B5D599D4FD}" destId="{C953EFAB-4114-4748-A451-7A309B74DF4C}" srcOrd="1" destOrd="0" presId="urn:microsoft.com/office/officeart/2005/8/layout/orgChart1"/>
    <dgm:cxn modelId="{F4BEBDEC-45AB-4CCD-BB29-C0CCF9EBADAE}" type="presParOf" srcId="{C953EFAB-4114-4748-A451-7A309B74DF4C}" destId="{8B4B4533-388A-4B84-BC72-C6A8625727EB}" srcOrd="0" destOrd="0" presId="urn:microsoft.com/office/officeart/2005/8/layout/orgChart1"/>
    <dgm:cxn modelId="{D58BB951-A064-47E6-A47C-A04E25F1C1AE}" type="presParOf" srcId="{8B4B4533-388A-4B84-BC72-C6A8625727EB}" destId="{0B4039FD-8638-46AB-A3DC-C2C60FD0C3B1}" srcOrd="0" destOrd="0" presId="urn:microsoft.com/office/officeart/2005/8/layout/orgChart1"/>
    <dgm:cxn modelId="{29CA3D36-0AF1-4771-A1EB-17EAD6E7A7CE}" type="presParOf" srcId="{8B4B4533-388A-4B84-BC72-C6A8625727EB}" destId="{4CFB6EF5-80F8-4E2A-B950-6A7BE13203E9}" srcOrd="1" destOrd="0" presId="urn:microsoft.com/office/officeart/2005/8/layout/orgChart1"/>
    <dgm:cxn modelId="{6A199AB5-2C69-4619-8168-BD33CFC78EF0}" type="presParOf" srcId="{C953EFAB-4114-4748-A451-7A309B74DF4C}" destId="{AE559BA2-71A3-4F87-AAA4-95F02C66654F}" srcOrd="1" destOrd="0" presId="urn:microsoft.com/office/officeart/2005/8/layout/orgChart1"/>
    <dgm:cxn modelId="{F43A3BD8-97BB-486E-B3D6-4BC6399EC44A}" type="presParOf" srcId="{C953EFAB-4114-4748-A451-7A309B74DF4C}" destId="{9B2E4364-717C-472A-B432-ED21CA40613F}" srcOrd="2" destOrd="0" presId="urn:microsoft.com/office/officeart/2005/8/layout/orgChart1"/>
    <dgm:cxn modelId="{D49944F5-D18C-40A7-9B83-6C10A108B77A}" type="presParOf" srcId="{FB0399E9-DF52-4978-91EE-36B5D599D4FD}" destId="{82DC4258-3990-41B0-8027-B610847D4D14}" srcOrd="2" destOrd="0" presId="urn:microsoft.com/office/officeart/2005/8/layout/orgChart1"/>
    <dgm:cxn modelId="{69294A79-6BD6-4A17-A47D-BB09E53FA001}" type="presParOf" srcId="{FB0399E9-DF52-4978-91EE-36B5D599D4FD}" destId="{C44D15D7-D30A-4D98-A57A-FCE2289098E1}" srcOrd="3" destOrd="0" presId="urn:microsoft.com/office/officeart/2005/8/layout/orgChart1"/>
    <dgm:cxn modelId="{69A70CAC-33C5-450C-AE47-D55D2D573987}" type="presParOf" srcId="{C44D15D7-D30A-4D98-A57A-FCE2289098E1}" destId="{4F96332C-BBCE-4691-8AF5-7E5D707E0917}" srcOrd="0" destOrd="0" presId="urn:microsoft.com/office/officeart/2005/8/layout/orgChart1"/>
    <dgm:cxn modelId="{F6A835E2-9C41-462E-8D8E-EA8231199ABD}" type="presParOf" srcId="{4F96332C-BBCE-4691-8AF5-7E5D707E0917}" destId="{5FFA63E0-79A3-483C-917C-3EFE1E1991FD}" srcOrd="0" destOrd="0" presId="urn:microsoft.com/office/officeart/2005/8/layout/orgChart1"/>
    <dgm:cxn modelId="{F159099A-2128-4061-8620-D04120F6F64C}" type="presParOf" srcId="{4F96332C-BBCE-4691-8AF5-7E5D707E0917}" destId="{9D74C5B6-4C2C-4CB0-826E-E717666CA8D7}" srcOrd="1" destOrd="0" presId="urn:microsoft.com/office/officeart/2005/8/layout/orgChart1"/>
    <dgm:cxn modelId="{ED0064BF-43CE-4924-8F08-00D63CE24B14}" type="presParOf" srcId="{C44D15D7-D30A-4D98-A57A-FCE2289098E1}" destId="{68C42793-3AC3-4FB9-A845-77FB9D71A6D5}" srcOrd="1" destOrd="0" presId="urn:microsoft.com/office/officeart/2005/8/layout/orgChart1"/>
    <dgm:cxn modelId="{3C801368-B891-421B-BA15-D064282BE1C8}" type="presParOf" srcId="{C44D15D7-D30A-4D98-A57A-FCE2289098E1}" destId="{60DE541E-9E7A-481D-9704-FCBDA3F573BA}" srcOrd="2" destOrd="0" presId="urn:microsoft.com/office/officeart/2005/8/layout/orgChart1"/>
    <dgm:cxn modelId="{DAEB8FC4-3427-4A66-9C62-BE194596B620}" type="presParOf" srcId="{FB0399E9-DF52-4978-91EE-36B5D599D4FD}" destId="{11DC0A18-B3D5-4C68-AC78-B87FE727FBA6}" srcOrd="4" destOrd="0" presId="urn:microsoft.com/office/officeart/2005/8/layout/orgChart1"/>
    <dgm:cxn modelId="{C230627D-249A-4800-BFF4-BFE66C6281EB}" type="presParOf" srcId="{FB0399E9-DF52-4978-91EE-36B5D599D4FD}" destId="{8FAEEB1B-03A2-4538-A00B-1D801AB64D26}" srcOrd="5" destOrd="0" presId="urn:microsoft.com/office/officeart/2005/8/layout/orgChart1"/>
    <dgm:cxn modelId="{FAF8174F-8498-4792-B5A4-4263C2E82CE1}" type="presParOf" srcId="{8FAEEB1B-03A2-4538-A00B-1D801AB64D26}" destId="{23F84A67-43A2-4C1B-9314-6E754A99B7E1}" srcOrd="0" destOrd="0" presId="urn:microsoft.com/office/officeart/2005/8/layout/orgChart1"/>
    <dgm:cxn modelId="{8EA3F136-A508-47DF-AF08-92C686B55F36}" type="presParOf" srcId="{23F84A67-43A2-4C1B-9314-6E754A99B7E1}" destId="{3F19BEEA-2972-4C60-A481-706E29604547}" srcOrd="0" destOrd="0" presId="urn:microsoft.com/office/officeart/2005/8/layout/orgChart1"/>
    <dgm:cxn modelId="{1B138C10-B5B1-494D-87B7-BB3B45AD1B69}" type="presParOf" srcId="{23F84A67-43A2-4C1B-9314-6E754A99B7E1}" destId="{0339D3B9-1F4C-48F7-893E-19C7F15D834F}" srcOrd="1" destOrd="0" presId="urn:microsoft.com/office/officeart/2005/8/layout/orgChart1"/>
    <dgm:cxn modelId="{BA7A2237-3950-4CC3-BB4C-7CC84BDA596F}" type="presParOf" srcId="{8FAEEB1B-03A2-4538-A00B-1D801AB64D26}" destId="{85DCD531-A316-4FAA-873F-21A37A883831}" srcOrd="1" destOrd="0" presId="urn:microsoft.com/office/officeart/2005/8/layout/orgChart1"/>
    <dgm:cxn modelId="{3BECB3D6-AA4E-4749-AD76-3A39C90D28A7}" type="presParOf" srcId="{8FAEEB1B-03A2-4538-A00B-1D801AB64D26}" destId="{97EB9636-CF8D-4AD0-B4B0-6200F63658BB}" srcOrd="2" destOrd="0" presId="urn:microsoft.com/office/officeart/2005/8/layout/orgChart1"/>
    <dgm:cxn modelId="{BD21F996-6332-4F49-93C1-B895BB7192CC}" type="presParOf" srcId="{FB0399E9-DF52-4978-91EE-36B5D599D4FD}" destId="{6878A38C-C478-465C-A2C4-06A1876DFDAA}" srcOrd="6" destOrd="0" presId="urn:microsoft.com/office/officeart/2005/8/layout/orgChart1"/>
    <dgm:cxn modelId="{E2594433-C0A7-44EF-A2AE-65F82E1F8C18}" type="presParOf" srcId="{FB0399E9-DF52-4978-91EE-36B5D599D4FD}" destId="{CC4A6E25-1457-4EBF-B7E4-AFD8CFAF6A1C}" srcOrd="7" destOrd="0" presId="urn:microsoft.com/office/officeart/2005/8/layout/orgChart1"/>
    <dgm:cxn modelId="{4EFF6A39-9DA9-43CF-891F-6E729961BBAE}" type="presParOf" srcId="{CC4A6E25-1457-4EBF-B7E4-AFD8CFAF6A1C}" destId="{EA21F26A-3218-4D0D-84DC-A3279B0BC6F8}" srcOrd="0" destOrd="0" presId="urn:microsoft.com/office/officeart/2005/8/layout/orgChart1"/>
    <dgm:cxn modelId="{40FB31C7-AEB1-41F4-A4E5-9E69BE1FF507}" type="presParOf" srcId="{EA21F26A-3218-4D0D-84DC-A3279B0BC6F8}" destId="{47C18FCF-589D-4184-A8F7-80147DC4D983}" srcOrd="0" destOrd="0" presId="urn:microsoft.com/office/officeart/2005/8/layout/orgChart1"/>
    <dgm:cxn modelId="{6B8AA57F-27D9-4FFB-BE42-B3BB0D607228}" type="presParOf" srcId="{EA21F26A-3218-4D0D-84DC-A3279B0BC6F8}" destId="{6D1FEB00-85F0-4935-AE4B-7E46722A9AA5}" srcOrd="1" destOrd="0" presId="urn:microsoft.com/office/officeart/2005/8/layout/orgChart1"/>
    <dgm:cxn modelId="{DEBD2753-C4F7-4532-8889-21AFEB5DA6A2}" type="presParOf" srcId="{CC4A6E25-1457-4EBF-B7E4-AFD8CFAF6A1C}" destId="{8765A389-C306-47FF-BD29-E7B5BE247295}" srcOrd="1" destOrd="0" presId="urn:microsoft.com/office/officeart/2005/8/layout/orgChart1"/>
    <dgm:cxn modelId="{82BC1635-8FF3-4D1A-8D04-4FE47B118111}" type="presParOf" srcId="{CC4A6E25-1457-4EBF-B7E4-AFD8CFAF6A1C}" destId="{17E84F9C-A6D7-4F0C-9358-0BFE6E842C6E}" srcOrd="2" destOrd="0" presId="urn:microsoft.com/office/officeart/2005/8/layout/orgChart1"/>
    <dgm:cxn modelId="{719F451B-7710-4958-82FD-2D4F3746594E}" type="presParOf" srcId="{FB0399E9-DF52-4978-91EE-36B5D599D4FD}" destId="{7744F35A-358F-4F86-8A56-7E3EB52666EF}" srcOrd="8" destOrd="0" presId="urn:microsoft.com/office/officeart/2005/8/layout/orgChart1"/>
    <dgm:cxn modelId="{293AE81B-CFC1-4848-B854-AEBDC9A31917}" type="presParOf" srcId="{FB0399E9-DF52-4978-91EE-36B5D599D4FD}" destId="{FC7F1AA4-3883-422A-B96D-E8CD1323EDF4}" srcOrd="9" destOrd="0" presId="urn:microsoft.com/office/officeart/2005/8/layout/orgChart1"/>
    <dgm:cxn modelId="{F0315620-DD17-4ABB-8103-C630972EABC6}" type="presParOf" srcId="{FC7F1AA4-3883-422A-B96D-E8CD1323EDF4}" destId="{464FA565-946C-48A3-B884-5D1A19AF16CB}" srcOrd="0" destOrd="0" presId="urn:microsoft.com/office/officeart/2005/8/layout/orgChart1"/>
    <dgm:cxn modelId="{59C0ABB3-8D9F-41D1-9425-5BD04FC254A1}" type="presParOf" srcId="{464FA565-946C-48A3-B884-5D1A19AF16CB}" destId="{A4DA0507-E977-41F1-9DE0-A7C6400DB3E1}" srcOrd="0" destOrd="0" presId="urn:microsoft.com/office/officeart/2005/8/layout/orgChart1"/>
    <dgm:cxn modelId="{26C95A0E-1084-41D5-A8C6-08C9A462594C}" type="presParOf" srcId="{464FA565-946C-48A3-B884-5D1A19AF16CB}" destId="{44B44150-C33E-4298-8711-4EBAB8C1F95F}" srcOrd="1" destOrd="0" presId="urn:microsoft.com/office/officeart/2005/8/layout/orgChart1"/>
    <dgm:cxn modelId="{8259FF7F-E359-4E6C-BFDD-03FE3890B68F}" type="presParOf" srcId="{FC7F1AA4-3883-422A-B96D-E8CD1323EDF4}" destId="{69774F6A-7FD4-4E6A-88BE-1400E143A545}" srcOrd="1" destOrd="0" presId="urn:microsoft.com/office/officeart/2005/8/layout/orgChart1"/>
    <dgm:cxn modelId="{60DE6161-5552-4559-9A64-D4D4879670CD}" type="presParOf" srcId="{FC7F1AA4-3883-422A-B96D-E8CD1323EDF4}" destId="{0566E8DD-A1E8-4A6E-8037-898DE350FB13}" srcOrd="2" destOrd="0" presId="urn:microsoft.com/office/officeart/2005/8/layout/orgChart1"/>
    <dgm:cxn modelId="{83EF1563-177B-43F8-985A-63F1BAC30225}" type="presParOf" srcId="{EF68E813-4563-4143-9918-9080178E09EF}" destId="{E92FE6CB-CD8F-4277-AC94-60A1056022F4}" srcOrd="2" destOrd="0" presId="urn:microsoft.com/office/officeart/2005/8/layout/orgChart1"/>
    <dgm:cxn modelId="{FC426DAE-2686-4EF2-B009-8C763A0E336F}" type="presParOf" srcId="{6A1E9CBE-02C3-4FE3-A3E4-39C9A72ADF45}" destId="{FD27F35D-0079-4789-9149-18713D15AEBF}" srcOrd="2" destOrd="0" presId="urn:microsoft.com/office/officeart/2005/8/layout/orgChart1"/>
    <dgm:cxn modelId="{106D3F68-32BD-475C-B9CD-78D38778BA33}" type="presParOf" srcId="{6A1E9CBE-02C3-4FE3-A3E4-39C9A72ADF45}" destId="{DD54024B-CB3A-4D00-9FE2-1D71A1609282}" srcOrd="3" destOrd="0" presId="urn:microsoft.com/office/officeart/2005/8/layout/orgChart1"/>
    <dgm:cxn modelId="{D8FB40FB-864E-4F99-94A2-F1CCB9765F10}" type="presParOf" srcId="{DD54024B-CB3A-4D00-9FE2-1D71A1609282}" destId="{081A3F3D-9560-4B2F-8AD7-C652C478BB02}" srcOrd="0" destOrd="0" presId="urn:microsoft.com/office/officeart/2005/8/layout/orgChart1"/>
    <dgm:cxn modelId="{0F97EEBC-28E5-4F71-9A55-BC566DBD1758}" type="presParOf" srcId="{081A3F3D-9560-4B2F-8AD7-C652C478BB02}" destId="{55B194FE-4CA4-42CA-926C-EB9B8A79C867}" srcOrd="0" destOrd="0" presId="urn:microsoft.com/office/officeart/2005/8/layout/orgChart1"/>
    <dgm:cxn modelId="{26684016-D296-4DAF-ACD8-2B04699432B7}" type="presParOf" srcId="{081A3F3D-9560-4B2F-8AD7-C652C478BB02}" destId="{DF588E0D-9B25-406A-8ECB-095CBC76C9BB}" srcOrd="1" destOrd="0" presId="urn:microsoft.com/office/officeart/2005/8/layout/orgChart1"/>
    <dgm:cxn modelId="{758AED28-C29A-486C-9ECB-E244BA5668DA}" type="presParOf" srcId="{DD54024B-CB3A-4D00-9FE2-1D71A1609282}" destId="{70298609-C5B3-44FE-88AA-05AF069C87EA}" srcOrd="1" destOrd="0" presId="urn:microsoft.com/office/officeart/2005/8/layout/orgChart1"/>
    <dgm:cxn modelId="{E568FBC2-C4C4-41B6-A82B-64B1C3E27D4F}" type="presParOf" srcId="{70298609-C5B3-44FE-88AA-05AF069C87EA}" destId="{DF6AADC5-D1E7-4A2D-923F-361736AB23A5}" srcOrd="0" destOrd="0" presId="urn:microsoft.com/office/officeart/2005/8/layout/orgChart1"/>
    <dgm:cxn modelId="{8474714C-15E1-405A-A5A5-3F38F957D098}" type="presParOf" srcId="{70298609-C5B3-44FE-88AA-05AF069C87EA}" destId="{5285AE1E-ED24-4CDF-9912-F8A5AD3EC098}" srcOrd="1" destOrd="0" presId="urn:microsoft.com/office/officeart/2005/8/layout/orgChart1"/>
    <dgm:cxn modelId="{72AD9033-3108-4F40-901F-176D72754743}" type="presParOf" srcId="{5285AE1E-ED24-4CDF-9912-F8A5AD3EC098}" destId="{3BFD4FB9-CABA-4661-AB41-2026C2AD8EC3}" srcOrd="0" destOrd="0" presId="urn:microsoft.com/office/officeart/2005/8/layout/orgChart1"/>
    <dgm:cxn modelId="{7291A696-2369-4BA6-A499-F0507370CF8A}" type="presParOf" srcId="{3BFD4FB9-CABA-4661-AB41-2026C2AD8EC3}" destId="{AE95CDFA-675A-43B4-82AC-EA4BBF8C7C64}" srcOrd="0" destOrd="0" presId="urn:microsoft.com/office/officeart/2005/8/layout/orgChart1"/>
    <dgm:cxn modelId="{1B6B6CA3-0043-4A3A-896A-2683FAE1EA43}" type="presParOf" srcId="{3BFD4FB9-CABA-4661-AB41-2026C2AD8EC3}" destId="{F735D1C0-9945-4893-989C-404C3D9B7043}" srcOrd="1" destOrd="0" presId="urn:microsoft.com/office/officeart/2005/8/layout/orgChart1"/>
    <dgm:cxn modelId="{369A7477-EF41-4CE3-A2E4-9D80ABBB2200}" type="presParOf" srcId="{5285AE1E-ED24-4CDF-9912-F8A5AD3EC098}" destId="{5F2A3F62-F73B-4FC1-B627-DF442F00400E}" srcOrd="1" destOrd="0" presId="urn:microsoft.com/office/officeart/2005/8/layout/orgChart1"/>
    <dgm:cxn modelId="{29032194-4267-4793-A819-09346A9C6D8F}" type="presParOf" srcId="{5285AE1E-ED24-4CDF-9912-F8A5AD3EC098}" destId="{78572D60-6322-499E-BD48-F94C005ECF08}" srcOrd="2" destOrd="0" presId="urn:microsoft.com/office/officeart/2005/8/layout/orgChart1"/>
    <dgm:cxn modelId="{04CBF29E-BD0C-4BF1-9515-FAABDBAF770E}" type="presParOf" srcId="{70298609-C5B3-44FE-88AA-05AF069C87EA}" destId="{CD18D46E-88DE-4992-8A5E-416A364F6987}" srcOrd="2" destOrd="0" presId="urn:microsoft.com/office/officeart/2005/8/layout/orgChart1"/>
    <dgm:cxn modelId="{17D6876C-194F-4491-B397-318E21E4511E}" type="presParOf" srcId="{70298609-C5B3-44FE-88AA-05AF069C87EA}" destId="{470758BE-C9C5-4B8F-87E6-90F2D2B45673}" srcOrd="3" destOrd="0" presId="urn:microsoft.com/office/officeart/2005/8/layout/orgChart1"/>
    <dgm:cxn modelId="{162F949F-D4A0-4A4C-B925-FEDB5B5641A5}" type="presParOf" srcId="{470758BE-C9C5-4B8F-87E6-90F2D2B45673}" destId="{C2F58A6F-33F5-4CD3-B3A0-15AC00CAA0C4}" srcOrd="0" destOrd="0" presId="urn:microsoft.com/office/officeart/2005/8/layout/orgChart1"/>
    <dgm:cxn modelId="{0DBE610E-243A-4AB0-AB57-F7D17B88C66E}" type="presParOf" srcId="{C2F58A6F-33F5-4CD3-B3A0-15AC00CAA0C4}" destId="{EC1E84DB-6112-4937-AD2E-9A25DB5F2CCC}" srcOrd="0" destOrd="0" presId="urn:microsoft.com/office/officeart/2005/8/layout/orgChart1"/>
    <dgm:cxn modelId="{20FF7501-9427-4C2E-99EF-E028CC810221}" type="presParOf" srcId="{C2F58A6F-33F5-4CD3-B3A0-15AC00CAA0C4}" destId="{3A775F16-E4E1-4ACA-A8DE-0D1DB2B3B300}" srcOrd="1" destOrd="0" presId="urn:microsoft.com/office/officeart/2005/8/layout/orgChart1"/>
    <dgm:cxn modelId="{D4739BF2-B4C5-4AC2-9D26-36FDF29E8A03}" type="presParOf" srcId="{470758BE-C9C5-4B8F-87E6-90F2D2B45673}" destId="{4880E5E4-32CB-4767-848C-4038508640FE}" srcOrd="1" destOrd="0" presId="urn:microsoft.com/office/officeart/2005/8/layout/orgChart1"/>
    <dgm:cxn modelId="{B9937D4A-81A5-464D-98D5-6092C04C4272}" type="presParOf" srcId="{470758BE-C9C5-4B8F-87E6-90F2D2B45673}" destId="{DA412D11-C51F-47B9-BE0C-F41496D4AE4C}" srcOrd="2" destOrd="0" presId="urn:microsoft.com/office/officeart/2005/8/layout/orgChart1"/>
    <dgm:cxn modelId="{C06E3F91-D0AC-48FB-948F-F6C022C3C0D4}" type="presParOf" srcId="{70298609-C5B3-44FE-88AA-05AF069C87EA}" destId="{2A38F4F1-A72D-463B-A756-4F1EA2BDC562}" srcOrd="4" destOrd="0" presId="urn:microsoft.com/office/officeart/2005/8/layout/orgChart1"/>
    <dgm:cxn modelId="{ADA49FC2-7510-4C46-BF79-D75F93A6BA96}" type="presParOf" srcId="{70298609-C5B3-44FE-88AA-05AF069C87EA}" destId="{D27C3086-F936-4F46-B844-2BA7E7F582A6}" srcOrd="5" destOrd="0" presId="urn:microsoft.com/office/officeart/2005/8/layout/orgChart1"/>
    <dgm:cxn modelId="{0BD61E2D-88AF-4C8C-B906-8673B93F0713}" type="presParOf" srcId="{D27C3086-F936-4F46-B844-2BA7E7F582A6}" destId="{BE2AA7AA-94F8-4254-B692-FEFE59BBB101}" srcOrd="0" destOrd="0" presId="urn:microsoft.com/office/officeart/2005/8/layout/orgChart1"/>
    <dgm:cxn modelId="{ADE98353-79A6-4C09-9514-00D2BCECCA9B}" type="presParOf" srcId="{BE2AA7AA-94F8-4254-B692-FEFE59BBB101}" destId="{B9FD17EE-61BE-4D39-9038-AD631FF54516}" srcOrd="0" destOrd="0" presId="urn:microsoft.com/office/officeart/2005/8/layout/orgChart1"/>
    <dgm:cxn modelId="{0F5A2FCE-6DC9-419C-92F0-033A32346805}" type="presParOf" srcId="{BE2AA7AA-94F8-4254-B692-FEFE59BBB101}" destId="{B4ABF7B0-37D7-4E83-BBA8-438C7CA5693F}" srcOrd="1" destOrd="0" presId="urn:microsoft.com/office/officeart/2005/8/layout/orgChart1"/>
    <dgm:cxn modelId="{2486359B-5CCB-4A04-B207-739538F27750}" type="presParOf" srcId="{D27C3086-F936-4F46-B844-2BA7E7F582A6}" destId="{91A5CC58-76C2-48BD-A2D2-E8CDD50A5386}" srcOrd="1" destOrd="0" presId="urn:microsoft.com/office/officeart/2005/8/layout/orgChart1"/>
    <dgm:cxn modelId="{8FFF82E7-5A38-4B76-A3FA-F175E5BDCA13}" type="presParOf" srcId="{D27C3086-F936-4F46-B844-2BA7E7F582A6}" destId="{9B6CC019-85C1-4647-BD7F-7D233BE6D00B}" srcOrd="2" destOrd="0" presId="urn:microsoft.com/office/officeart/2005/8/layout/orgChart1"/>
    <dgm:cxn modelId="{C63E361A-7C1A-47C6-9FA0-AD867B912194}" type="presParOf" srcId="{70298609-C5B3-44FE-88AA-05AF069C87EA}" destId="{B30386BF-4EF7-4774-96E4-587DB6B9B081}" srcOrd="6" destOrd="0" presId="urn:microsoft.com/office/officeart/2005/8/layout/orgChart1"/>
    <dgm:cxn modelId="{23DED49F-FFC1-43E0-A7E7-B57334544F43}" type="presParOf" srcId="{70298609-C5B3-44FE-88AA-05AF069C87EA}" destId="{43ECF4B8-CC89-4881-BD21-8860CC11AD9E}" srcOrd="7" destOrd="0" presId="urn:microsoft.com/office/officeart/2005/8/layout/orgChart1"/>
    <dgm:cxn modelId="{7091B54D-310F-4274-8A9A-60FE3CA9BD8A}" type="presParOf" srcId="{43ECF4B8-CC89-4881-BD21-8860CC11AD9E}" destId="{FE7AFEAD-251E-40B0-AD32-B2AAD2919AFB}" srcOrd="0" destOrd="0" presId="urn:microsoft.com/office/officeart/2005/8/layout/orgChart1"/>
    <dgm:cxn modelId="{200AD932-2983-4F2C-94B6-9E0EA984DDB5}" type="presParOf" srcId="{FE7AFEAD-251E-40B0-AD32-B2AAD2919AFB}" destId="{00A75874-4201-47A0-ADA7-0D5A9257D78B}" srcOrd="0" destOrd="0" presId="urn:microsoft.com/office/officeart/2005/8/layout/orgChart1"/>
    <dgm:cxn modelId="{CB60099C-4794-4614-862D-C61D1C92E919}" type="presParOf" srcId="{FE7AFEAD-251E-40B0-AD32-B2AAD2919AFB}" destId="{4239DA5A-5717-41B8-9618-63C6A3FB60AA}" srcOrd="1" destOrd="0" presId="urn:microsoft.com/office/officeart/2005/8/layout/orgChart1"/>
    <dgm:cxn modelId="{29017C56-9002-4D7C-A0EC-A0AB9BA0A551}" type="presParOf" srcId="{43ECF4B8-CC89-4881-BD21-8860CC11AD9E}" destId="{E1256005-8C1C-4E6D-A446-70923ED6F1C9}" srcOrd="1" destOrd="0" presId="urn:microsoft.com/office/officeart/2005/8/layout/orgChart1"/>
    <dgm:cxn modelId="{DB8029D7-713B-478D-BA3A-9662101A53CD}" type="presParOf" srcId="{43ECF4B8-CC89-4881-BD21-8860CC11AD9E}" destId="{36D5B97A-31DA-4583-B873-F5E4DD70EA97}" srcOrd="2" destOrd="0" presId="urn:microsoft.com/office/officeart/2005/8/layout/orgChart1"/>
    <dgm:cxn modelId="{5E4DE1F2-06E6-4E4C-938C-26DF04C2A7D8}" type="presParOf" srcId="{DD54024B-CB3A-4D00-9FE2-1D71A1609282}" destId="{3580DF6B-1B7E-4AE1-AE40-6F10EBF194CD}" srcOrd="2" destOrd="0" presId="urn:microsoft.com/office/officeart/2005/8/layout/orgChart1"/>
    <dgm:cxn modelId="{EB1F64F5-8BFB-4A2D-8058-8768EAD38DC0}" type="presParOf" srcId="{6A1E9CBE-02C3-4FE3-A3E4-39C9A72ADF45}" destId="{5EA8C2E0-C30E-46FD-A07E-7C52DB3B6FA2}" srcOrd="4" destOrd="0" presId="urn:microsoft.com/office/officeart/2005/8/layout/orgChart1"/>
    <dgm:cxn modelId="{239F1D6B-546D-46D7-913A-20A7865FEE41}" type="presParOf" srcId="{6A1E9CBE-02C3-4FE3-A3E4-39C9A72ADF45}" destId="{BA5581BC-A773-4800-9F8F-D21100406248}" srcOrd="5" destOrd="0" presId="urn:microsoft.com/office/officeart/2005/8/layout/orgChart1"/>
    <dgm:cxn modelId="{1D1DE12B-830D-4FBA-9511-38AC1E8F5922}" type="presParOf" srcId="{BA5581BC-A773-4800-9F8F-D21100406248}" destId="{22CE1351-0142-4AE5-968A-249DEE6302EE}" srcOrd="0" destOrd="0" presId="urn:microsoft.com/office/officeart/2005/8/layout/orgChart1"/>
    <dgm:cxn modelId="{656CC507-0E61-4C26-AB7A-949892C23172}" type="presParOf" srcId="{22CE1351-0142-4AE5-968A-249DEE6302EE}" destId="{BB98FCBB-EE7A-4658-9219-303F93DA6698}" srcOrd="0" destOrd="0" presId="urn:microsoft.com/office/officeart/2005/8/layout/orgChart1"/>
    <dgm:cxn modelId="{93BF1906-CB10-4302-81C7-AAE3C6B317D0}" type="presParOf" srcId="{22CE1351-0142-4AE5-968A-249DEE6302EE}" destId="{BFA8EA8D-D845-4D66-B731-B2D98F94E459}" srcOrd="1" destOrd="0" presId="urn:microsoft.com/office/officeart/2005/8/layout/orgChart1"/>
    <dgm:cxn modelId="{1F20F1C3-5E66-4B5D-8A2F-6611F8895362}" type="presParOf" srcId="{BA5581BC-A773-4800-9F8F-D21100406248}" destId="{FC94AED5-10EC-4E05-8608-7E72DD25C5C9}" srcOrd="1" destOrd="0" presId="urn:microsoft.com/office/officeart/2005/8/layout/orgChart1"/>
    <dgm:cxn modelId="{0A2D338B-3972-41B8-969B-D85729ECB492}" type="presParOf" srcId="{FC94AED5-10EC-4E05-8608-7E72DD25C5C9}" destId="{DBD97349-31BC-48C5-846F-270F33919490}" srcOrd="0" destOrd="0" presId="urn:microsoft.com/office/officeart/2005/8/layout/orgChart1"/>
    <dgm:cxn modelId="{F700E0A8-208C-4135-A8B7-43545BCD569F}" type="presParOf" srcId="{FC94AED5-10EC-4E05-8608-7E72DD25C5C9}" destId="{7142D834-2412-44C0-BA4F-C4217F9479D1}" srcOrd="1" destOrd="0" presId="urn:microsoft.com/office/officeart/2005/8/layout/orgChart1"/>
    <dgm:cxn modelId="{5986E346-2BD1-4814-92DE-E03A90EC3455}" type="presParOf" srcId="{7142D834-2412-44C0-BA4F-C4217F9479D1}" destId="{BB3825DD-B21F-4D1D-977B-2D18F1E30916}" srcOrd="0" destOrd="0" presId="urn:microsoft.com/office/officeart/2005/8/layout/orgChart1"/>
    <dgm:cxn modelId="{9E361A95-2F1B-4938-B9FA-BF1E07D8FA2B}" type="presParOf" srcId="{BB3825DD-B21F-4D1D-977B-2D18F1E30916}" destId="{BB1C01D0-9255-44A9-99BD-61C23D8AF35B}" srcOrd="0" destOrd="0" presId="urn:microsoft.com/office/officeart/2005/8/layout/orgChart1"/>
    <dgm:cxn modelId="{E060C816-6D9A-45F0-A8B5-57E20FE955BF}" type="presParOf" srcId="{BB3825DD-B21F-4D1D-977B-2D18F1E30916}" destId="{4457CC61-CD64-48BA-BBFB-96E8BD35DD70}" srcOrd="1" destOrd="0" presId="urn:microsoft.com/office/officeart/2005/8/layout/orgChart1"/>
    <dgm:cxn modelId="{528664F6-EEC3-4215-91F1-77CB7AE10469}" type="presParOf" srcId="{7142D834-2412-44C0-BA4F-C4217F9479D1}" destId="{A6C0EA22-CCAA-4EC8-8E8B-7D70719E45FB}" srcOrd="1" destOrd="0" presId="urn:microsoft.com/office/officeart/2005/8/layout/orgChart1"/>
    <dgm:cxn modelId="{02C004CE-2B5E-4C6C-8CA9-57136EC2EB97}" type="presParOf" srcId="{7142D834-2412-44C0-BA4F-C4217F9479D1}" destId="{29FF6DD0-6405-421F-9757-6A65953EA4CA}" srcOrd="2" destOrd="0" presId="urn:microsoft.com/office/officeart/2005/8/layout/orgChart1"/>
    <dgm:cxn modelId="{DFAF86AE-1D02-40D0-9D53-7DD6C286108B}" type="presParOf" srcId="{FC94AED5-10EC-4E05-8608-7E72DD25C5C9}" destId="{98C110D0-630C-4EAA-94E4-07C2E705407A}" srcOrd="2" destOrd="0" presId="urn:microsoft.com/office/officeart/2005/8/layout/orgChart1"/>
    <dgm:cxn modelId="{9CF7C028-43B9-471B-828A-3A0DF64E124D}" type="presParOf" srcId="{FC94AED5-10EC-4E05-8608-7E72DD25C5C9}" destId="{C498955D-D576-4C85-990F-72623CE184D7}" srcOrd="3" destOrd="0" presId="urn:microsoft.com/office/officeart/2005/8/layout/orgChart1"/>
    <dgm:cxn modelId="{B051CFD1-17D7-40BF-B273-AE0106F733A1}" type="presParOf" srcId="{C498955D-D576-4C85-990F-72623CE184D7}" destId="{D7EDC37C-AACA-409C-908D-254D6F792C88}" srcOrd="0" destOrd="0" presId="urn:microsoft.com/office/officeart/2005/8/layout/orgChart1"/>
    <dgm:cxn modelId="{82A23247-4C26-4F19-8B59-E98D0CA24EA8}" type="presParOf" srcId="{D7EDC37C-AACA-409C-908D-254D6F792C88}" destId="{BFAE9770-EC7A-4C0C-905D-F311C8D2168D}" srcOrd="0" destOrd="0" presId="urn:microsoft.com/office/officeart/2005/8/layout/orgChart1"/>
    <dgm:cxn modelId="{77163DEB-0C31-4981-B95E-B3D6DA105D7D}" type="presParOf" srcId="{D7EDC37C-AACA-409C-908D-254D6F792C88}" destId="{287856A3-DA1E-4C0C-A7B8-D0A73E9E73A7}" srcOrd="1" destOrd="0" presId="urn:microsoft.com/office/officeart/2005/8/layout/orgChart1"/>
    <dgm:cxn modelId="{B8C700FC-BF7E-47DE-9531-E4DC14D4C1BC}" type="presParOf" srcId="{C498955D-D576-4C85-990F-72623CE184D7}" destId="{9C7029A3-E22B-4DD1-A669-7A65DE8DF30F}" srcOrd="1" destOrd="0" presId="urn:microsoft.com/office/officeart/2005/8/layout/orgChart1"/>
    <dgm:cxn modelId="{2E4B52B2-9444-4F0A-B797-96641E6E57A4}" type="presParOf" srcId="{C498955D-D576-4C85-990F-72623CE184D7}" destId="{D4808317-EAC9-48C8-AB89-EF56414D9774}" srcOrd="2" destOrd="0" presId="urn:microsoft.com/office/officeart/2005/8/layout/orgChart1"/>
    <dgm:cxn modelId="{A0B6F378-FCAD-4018-85B9-1567467C5B8D}" type="presParOf" srcId="{FC94AED5-10EC-4E05-8608-7E72DD25C5C9}" destId="{7A91D0E8-AD6D-4E30-9B18-342647167BB1}" srcOrd="4" destOrd="0" presId="urn:microsoft.com/office/officeart/2005/8/layout/orgChart1"/>
    <dgm:cxn modelId="{23BADD13-29B7-4012-A4D8-C4B007D02559}" type="presParOf" srcId="{FC94AED5-10EC-4E05-8608-7E72DD25C5C9}" destId="{5FEC4390-6CCF-4E1D-AAAF-030BF3304971}" srcOrd="5" destOrd="0" presId="urn:microsoft.com/office/officeart/2005/8/layout/orgChart1"/>
    <dgm:cxn modelId="{5F5E09EF-2D00-42DE-8248-B984E5E23574}" type="presParOf" srcId="{5FEC4390-6CCF-4E1D-AAAF-030BF3304971}" destId="{F14D1C97-12F3-4750-847E-EE751EF7DA2A}" srcOrd="0" destOrd="0" presId="urn:microsoft.com/office/officeart/2005/8/layout/orgChart1"/>
    <dgm:cxn modelId="{5AA79B2F-7BF7-4BCF-BEC2-6E200080A127}" type="presParOf" srcId="{F14D1C97-12F3-4750-847E-EE751EF7DA2A}" destId="{ECDF546D-D860-4D1A-80A4-B46FDA228AE7}" srcOrd="0" destOrd="0" presId="urn:microsoft.com/office/officeart/2005/8/layout/orgChart1"/>
    <dgm:cxn modelId="{EA00A79E-8C0E-493D-996E-B5BBE9DD8CDA}" type="presParOf" srcId="{F14D1C97-12F3-4750-847E-EE751EF7DA2A}" destId="{BAE2AAC9-D11B-4592-B7E9-1B057BEC527A}" srcOrd="1" destOrd="0" presId="urn:microsoft.com/office/officeart/2005/8/layout/orgChart1"/>
    <dgm:cxn modelId="{E1CE2855-10BE-4EA8-9C2E-82FA38F34AB6}" type="presParOf" srcId="{5FEC4390-6CCF-4E1D-AAAF-030BF3304971}" destId="{3C94E67D-4437-4EA3-9998-627F6CAF7835}" srcOrd="1" destOrd="0" presId="urn:microsoft.com/office/officeart/2005/8/layout/orgChart1"/>
    <dgm:cxn modelId="{08593793-7436-47EE-8C18-06E0B1E15C16}" type="presParOf" srcId="{5FEC4390-6CCF-4E1D-AAAF-030BF3304971}" destId="{112FE73D-0C06-43AD-A93B-F6F15865452D}" srcOrd="2" destOrd="0" presId="urn:microsoft.com/office/officeart/2005/8/layout/orgChart1"/>
    <dgm:cxn modelId="{84791414-9555-41E2-A067-12A1DE9979D7}" type="presParOf" srcId="{FC94AED5-10EC-4E05-8608-7E72DD25C5C9}" destId="{5AC5B411-D156-4AF3-9A31-07881E460FBE}" srcOrd="6" destOrd="0" presId="urn:microsoft.com/office/officeart/2005/8/layout/orgChart1"/>
    <dgm:cxn modelId="{F57CA84B-C5CC-4316-B53C-99A4CADD5DBC}" type="presParOf" srcId="{FC94AED5-10EC-4E05-8608-7E72DD25C5C9}" destId="{5AF37130-F5B7-4E66-8B99-F469F44F478C}" srcOrd="7" destOrd="0" presId="urn:microsoft.com/office/officeart/2005/8/layout/orgChart1"/>
    <dgm:cxn modelId="{51CFDE01-6A27-4A1D-B072-6EC7C0974306}" type="presParOf" srcId="{5AF37130-F5B7-4E66-8B99-F469F44F478C}" destId="{39EC81EB-5F4E-4930-AE36-27D1D6885AD8}" srcOrd="0" destOrd="0" presId="urn:microsoft.com/office/officeart/2005/8/layout/orgChart1"/>
    <dgm:cxn modelId="{FC6AD2F5-B1CC-4CFA-83EA-7F95680B3A57}" type="presParOf" srcId="{39EC81EB-5F4E-4930-AE36-27D1D6885AD8}" destId="{112F6855-1E0E-497F-9415-4D7C4472C93D}" srcOrd="0" destOrd="0" presId="urn:microsoft.com/office/officeart/2005/8/layout/orgChart1"/>
    <dgm:cxn modelId="{A7FD3706-3E50-4FC9-9B4C-C3DB4D030BE9}" type="presParOf" srcId="{39EC81EB-5F4E-4930-AE36-27D1D6885AD8}" destId="{6CAC3B1C-305E-47E7-8B92-273FC7B1CA31}" srcOrd="1" destOrd="0" presId="urn:microsoft.com/office/officeart/2005/8/layout/orgChart1"/>
    <dgm:cxn modelId="{C4BE93A9-4B4B-4231-AB80-821DC5A27E6E}" type="presParOf" srcId="{5AF37130-F5B7-4E66-8B99-F469F44F478C}" destId="{2989A645-6252-4D72-B460-F5183633E9DF}" srcOrd="1" destOrd="0" presId="urn:microsoft.com/office/officeart/2005/8/layout/orgChart1"/>
    <dgm:cxn modelId="{95580E10-E88D-4A2E-97BE-4F66E65D79DE}" type="presParOf" srcId="{5AF37130-F5B7-4E66-8B99-F469F44F478C}" destId="{4ED8BCE5-249B-4361-9CBB-C8B56C2D5483}" srcOrd="2" destOrd="0" presId="urn:microsoft.com/office/officeart/2005/8/layout/orgChart1"/>
    <dgm:cxn modelId="{60BD412B-8DA1-4A08-9EFB-A2EBD2352F1E}" type="presParOf" srcId="{FC94AED5-10EC-4E05-8608-7E72DD25C5C9}" destId="{3C0DD84D-7F97-4752-BC6A-E12A319281CA}" srcOrd="8" destOrd="0" presId="urn:microsoft.com/office/officeart/2005/8/layout/orgChart1"/>
    <dgm:cxn modelId="{9638F071-8854-496A-A8F3-3788F2C3F70C}" type="presParOf" srcId="{FC94AED5-10EC-4E05-8608-7E72DD25C5C9}" destId="{408317D8-CD19-4012-8F4B-C4948463D24C}" srcOrd="9" destOrd="0" presId="urn:microsoft.com/office/officeart/2005/8/layout/orgChart1"/>
    <dgm:cxn modelId="{213AADE7-DE78-402A-ACA3-3E6C674A4C83}" type="presParOf" srcId="{408317D8-CD19-4012-8F4B-C4948463D24C}" destId="{1B9814F0-07DA-433B-B86E-282384848BD8}" srcOrd="0" destOrd="0" presId="urn:microsoft.com/office/officeart/2005/8/layout/orgChart1"/>
    <dgm:cxn modelId="{FFCF8F06-F66A-45A0-96E4-FB9D1FDC3E41}" type="presParOf" srcId="{1B9814F0-07DA-433B-B86E-282384848BD8}" destId="{87B20E20-DE6F-41AC-A975-E6ADA0215070}" srcOrd="0" destOrd="0" presId="urn:microsoft.com/office/officeart/2005/8/layout/orgChart1"/>
    <dgm:cxn modelId="{333CCA83-7377-47B6-AC67-6E87600B4048}" type="presParOf" srcId="{1B9814F0-07DA-433B-B86E-282384848BD8}" destId="{B077A237-CC79-4C82-9949-ED68A623126F}" srcOrd="1" destOrd="0" presId="urn:microsoft.com/office/officeart/2005/8/layout/orgChart1"/>
    <dgm:cxn modelId="{E247C97E-6851-4D8B-BDD9-913DF0CE2631}" type="presParOf" srcId="{408317D8-CD19-4012-8F4B-C4948463D24C}" destId="{3376AFD9-6BD4-4FD6-A2BD-7B478F6810C4}" srcOrd="1" destOrd="0" presId="urn:microsoft.com/office/officeart/2005/8/layout/orgChart1"/>
    <dgm:cxn modelId="{4DA0974A-BFB7-4756-A18E-DA926E64C87E}" type="presParOf" srcId="{408317D8-CD19-4012-8F4B-C4948463D24C}" destId="{B7EA40B6-6249-4901-A990-4ECC8F984322}" srcOrd="2" destOrd="0" presId="urn:microsoft.com/office/officeart/2005/8/layout/orgChart1"/>
    <dgm:cxn modelId="{5149F2D6-80B8-4A48-98C3-B9EDE168F2AE}" type="presParOf" srcId="{BA5581BC-A773-4800-9F8F-D21100406248}" destId="{20C491A5-5C96-48B5-9643-297E691CA654}" srcOrd="2" destOrd="0" presId="urn:microsoft.com/office/officeart/2005/8/layout/orgChart1"/>
    <dgm:cxn modelId="{25982715-0129-4B76-B4A2-BE54352EB162}" type="presParOf" srcId="{6A1E9CBE-02C3-4FE3-A3E4-39C9A72ADF45}" destId="{4E7DF474-D98D-4BBA-8296-581A75375E2D}" srcOrd="6" destOrd="0" presId="urn:microsoft.com/office/officeart/2005/8/layout/orgChart1"/>
    <dgm:cxn modelId="{1B32D25B-21DD-407A-A19C-DC96EBD2BB2A}" type="presParOf" srcId="{6A1E9CBE-02C3-4FE3-A3E4-39C9A72ADF45}" destId="{CD51B1D0-CF97-4FCC-AACF-641C995590A4}" srcOrd="7" destOrd="0" presId="urn:microsoft.com/office/officeart/2005/8/layout/orgChart1"/>
    <dgm:cxn modelId="{DD0D30A3-0432-4803-A835-0013FC482F0D}" type="presParOf" srcId="{CD51B1D0-CF97-4FCC-AACF-641C995590A4}" destId="{5F28A122-3054-4B65-B13A-15EC1CE2BB5A}" srcOrd="0" destOrd="0" presId="urn:microsoft.com/office/officeart/2005/8/layout/orgChart1"/>
    <dgm:cxn modelId="{9142CB0E-9E5E-4E0E-BF2A-5C6B834475CC}" type="presParOf" srcId="{5F28A122-3054-4B65-B13A-15EC1CE2BB5A}" destId="{98D925AB-C35D-47C1-8106-73685D2AC3DE}" srcOrd="0" destOrd="0" presId="urn:microsoft.com/office/officeart/2005/8/layout/orgChart1"/>
    <dgm:cxn modelId="{198C8B4F-8AFC-4B1A-B162-1FA01DFEE7BC}" type="presParOf" srcId="{5F28A122-3054-4B65-B13A-15EC1CE2BB5A}" destId="{5F188937-1ADB-4C9B-AAB8-8DF939C4B96B}" srcOrd="1" destOrd="0" presId="urn:microsoft.com/office/officeart/2005/8/layout/orgChart1"/>
    <dgm:cxn modelId="{D012054A-6FDA-4264-B1C9-4B6ED5D560DA}" type="presParOf" srcId="{CD51B1D0-CF97-4FCC-AACF-641C995590A4}" destId="{7DA6053B-9422-42D6-B26D-B549751CE830}" srcOrd="1" destOrd="0" presId="urn:microsoft.com/office/officeart/2005/8/layout/orgChart1"/>
    <dgm:cxn modelId="{26F61F5F-053A-47FF-9C7A-51F06302D019}" type="presParOf" srcId="{7DA6053B-9422-42D6-B26D-B549751CE830}" destId="{B870542E-14E2-46AB-99B3-F18ABE97975E}" srcOrd="0" destOrd="0" presId="urn:microsoft.com/office/officeart/2005/8/layout/orgChart1"/>
    <dgm:cxn modelId="{85915B73-B5DE-4637-9450-2CEEDF3E98B3}" type="presParOf" srcId="{7DA6053B-9422-42D6-B26D-B549751CE830}" destId="{70066562-0345-4A0B-909D-76247DB44CDD}" srcOrd="1" destOrd="0" presId="urn:microsoft.com/office/officeart/2005/8/layout/orgChart1"/>
    <dgm:cxn modelId="{C996C714-E3DA-4DB1-95EE-D804148D4E19}" type="presParOf" srcId="{70066562-0345-4A0B-909D-76247DB44CDD}" destId="{3A6CDC16-2911-436B-92FF-F8728F7F2254}" srcOrd="0" destOrd="0" presId="urn:microsoft.com/office/officeart/2005/8/layout/orgChart1"/>
    <dgm:cxn modelId="{E78FDE44-B55D-4D70-858A-6D59AE032572}" type="presParOf" srcId="{3A6CDC16-2911-436B-92FF-F8728F7F2254}" destId="{9FE226CE-1DB4-4543-8B51-C27A1A1F37EA}" srcOrd="0" destOrd="0" presId="urn:microsoft.com/office/officeart/2005/8/layout/orgChart1"/>
    <dgm:cxn modelId="{502E9E65-7C06-472A-85C8-698476091532}" type="presParOf" srcId="{3A6CDC16-2911-436B-92FF-F8728F7F2254}" destId="{F98AAA3D-796E-42A6-AD36-9B55EE4CACDD}" srcOrd="1" destOrd="0" presId="urn:microsoft.com/office/officeart/2005/8/layout/orgChart1"/>
    <dgm:cxn modelId="{E2947CCA-4126-4A0E-B78D-7E746EF27D31}" type="presParOf" srcId="{70066562-0345-4A0B-909D-76247DB44CDD}" destId="{DC9949E5-DE92-453F-8482-F2BEBD4875BA}" srcOrd="1" destOrd="0" presId="urn:microsoft.com/office/officeart/2005/8/layout/orgChart1"/>
    <dgm:cxn modelId="{2F560DA9-4D4B-40A2-94CC-116C91D0E952}" type="presParOf" srcId="{70066562-0345-4A0B-909D-76247DB44CDD}" destId="{1240D037-E28B-42EA-9FA3-51FA0B374027}" srcOrd="2" destOrd="0" presId="urn:microsoft.com/office/officeart/2005/8/layout/orgChart1"/>
    <dgm:cxn modelId="{242E9F82-E24A-45FF-8A95-6EAF4D996872}" type="presParOf" srcId="{7DA6053B-9422-42D6-B26D-B549751CE830}" destId="{368EDAC7-072F-46D8-ABF2-B8FA4E36FA33}" srcOrd="2" destOrd="0" presId="urn:microsoft.com/office/officeart/2005/8/layout/orgChart1"/>
    <dgm:cxn modelId="{259B8891-B493-483B-9FF8-E45E591BFD41}" type="presParOf" srcId="{7DA6053B-9422-42D6-B26D-B549751CE830}" destId="{C5C4F8E2-AF12-4A38-9961-F83F4175DF69}" srcOrd="3" destOrd="0" presId="urn:microsoft.com/office/officeart/2005/8/layout/orgChart1"/>
    <dgm:cxn modelId="{A1432915-4C9F-4BD5-8D20-8B62DB62B5E5}" type="presParOf" srcId="{C5C4F8E2-AF12-4A38-9961-F83F4175DF69}" destId="{4362C4BA-827B-4FB1-92C3-633315F9D207}" srcOrd="0" destOrd="0" presId="urn:microsoft.com/office/officeart/2005/8/layout/orgChart1"/>
    <dgm:cxn modelId="{14E90191-3ECE-49C6-95B6-AF3A755EDA41}" type="presParOf" srcId="{4362C4BA-827B-4FB1-92C3-633315F9D207}" destId="{70AC45AE-CA90-480B-8750-138CD9CC152D}" srcOrd="0" destOrd="0" presId="urn:microsoft.com/office/officeart/2005/8/layout/orgChart1"/>
    <dgm:cxn modelId="{97ED032A-ACC9-430C-96DC-CF22984F5FB2}" type="presParOf" srcId="{4362C4BA-827B-4FB1-92C3-633315F9D207}" destId="{01750666-9CC9-4110-AD60-01D9244A4127}" srcOrd="1" destOrd="0" presId="urn:microsoft.com/office/officeart/2005/8/layout/orgChart1"/>
    <dgm:cxn modelId="{076D245C-EE4F-40B7-AFD0-46CE38796DA5}" type="presParOf" srcId="{C5C4F8E2-AF12-4A38-9961-F83F4175DF69}" destId="{B50B18D1-5519-4CD5-9F1C-7A1EADE299BE}" srcOrd="1" destOrd="0" presId="urn:microsoft.com/office/officeart/2005/8/layout/orgChart1"/>
    <dgm:cxn modelId="{6EECD10B-2F4C-4DCF-9F90-87304365BA39}" type="presParOf" srcId="{C5C4F8E2-AF12-4A38-9961-F83F4175DF69}" destId="{BF393A8F-526C-4607-8EB5-D8E26B8827C7}" srcOrd="2" destOrd="0" presId="urn:microsoft.com/office/officeart/2005/8/layout/orgChart1"/>
    <dgm:cxn modelId="{BD9321F8-C75E-44BA-9478-22ADDB71841F}" type="presParOf" srcId="{7DA6053B-9422-42D6-B26D-B549751CE830}" destId="{CE701833-6097-4DCC-970F-7AE8A1CD0773}" srcOrd="4" destOrd="0" presId="urn:microsoft.com/office/officeart/2005/8/layout/orgChart1"/>
    <dgm:cxn modelId="{5BE6C843-D0CC-4C81-BF0F-7726DF43D5EA}" type="presParOf" srcId="{7DA6053B-9422-42D6-B26D-B549751CE830}" destId="{CF3B41A4-6B12-4310-AD72-3FFD606A0857}" srcOrd="5" destOrd="0" presId="urn:microsoft.com/office/officeart/2005/8/layout/orgChart1"/>
    <dgm:cxn modelId="{090308E0-A80A-4854-A4DA-B035B37C554C}" type="presParOf" srcId="{CF3B41A4-6B12-4310-AD72-3FFD606A0857}" destId="{70C447AD-523E-4F6B-A21D-8278DDF36BAD}" srcOrd="0" destOrd="0" presId="urn:microsoft.com/office/officeart/2005/8/layout/orgChart1"/>
    <dgm:cxn modelId="{848A06DD-1F47-48A7-858E-3964D2A99B0B}" type="presParOf" srcId="{70C447AD-523E-4F6B-A21D-8278DDF36BAD}" destId="{102BBEA8-059E-4C24-B3C6-D23C614A429D}" srcOrd="0" destOrd="0" presId="urn:microsoft.com/office/officeart/2005/8/layout/orgChart1"/>
    <dgm:cxn modelId="{62380A84-3273-4499-AA94-F853FBABD4F9}" type="presParOf" srcId="{70C447AD-523E-4F6B-A21D-8278DDF36BAD}" destId="{0390CE1B-A918-4A9F-B02F-DC604A4DB78E}" srcOrd="1" destOrd="0" presId="urn:microsoft.com/office/officeart/2005/8/layout/orgChart1"/>
    <dgm:cxn modelId="{2F34594A-0A93-439B-A389-95A7675C15D3}" type="presParOf" srcId="{CF3B41A4-6B12-4310-AD72-3FFD606A0857}" destId="{8C43A267-038B-4A0A-A937-A213CF85DDB0}" srcOrd="1" destOrd="0" presId="urn:microsoft.com/office/officeart/2005/8/layout/orgChart1"/>
    <dgm:cxn modelId="{1EEE856C-85DB-4990-8203-E2A9A955D90F}" type="presParOf" srcId="{CF3B41A4-6B12-4310-AD72-3FFD606A0857}" destId="{8B1CA1D1-4EEE-41BB-92B6-630440C2EDB3}" srcOrd="2" destOrd="0" presId="urn:microsoft.com/office/officeart/2005/8/layout/orgChart1"/>
    <dgm:cxn modelId="{E016E479-C855-48B1-948C-7C5D941F3839}" type="presParOf" srcId="{7DA6053B-9422-42D6-B26D-B549751CE830}" destId="{47784190-21D1-4F73-9404-980DCC576367}" srcOrd="6" destOrd="0" presId="urn:microsoft.com/office/officeart/2005/8/layout/orgChart1"/>
    <dgm:cxn modelId="{64A77D66-C127-4EDD-A313-FA81D3918BB3}" type="presParOf" srcId="{7DA6053B-9422-42D6-B26D-B549751CE830}" destId="{2C4E519D-67BE-4A66-B545-0E87FFDA2673}" srcOrd="7" destOrd="0" presId="urn:microsoft.com/office/officeart/2005/8/layout/orgChart1"/>
    <dgm:cxn modelId="{4E880E48-2611-45E8-B2EC-E456C182E611}" type="presParOf" srcId="{2C4E519D-67BE-4A66-B545-0E87FFDA2673}" destId="{27FFFF76-6DA5-49E1-B2D0-6C7DDA1DEC70}" srcOrd="0" destOrd="0" presId="urn:microsoft.com/office/officeart/2005/8/layout/orgChart1"/>
    <dgm:cxn modelId="{6E82BAEF-540D-4E1F-8FF2-FCB4A2E98C57}" type="presParOf" srcId="{27FFFF76-6DA5-49E1-B2D0-6C7DDA1DEC70}" destId="{7293EB14-24DB-46B6-87E4-1E172FF86BCA}" srcOrd="0" destOrd="0" presId="urn:microsoft.com/office/officeart/2005/8/layout/orgChart1"/>
    <dgm:cxn modelId="{E6947149-F82D-4C44-9491-654BEADC1117}" type="presParOf" srcId="{27FFFF76-6DA5-49E1-B2D0-6C7DDA1DEC70}" destId="{1AFE711F-76FC-4C40-A58E-B3507CA3675A}" srcOrd="1" destOrd="0" presId="urn:microsoft.com/office/officeart/2005/8/layout/orgChart1"/>
    <dgm:cxn modelId="{BC6C9186-9B03-47E2-A5D4-F1EB32A0992C}" type="presParOf" srcId="{2C4E519D-67BE-4A66-B545-0E87FFDA2673}" destId="{CA9FCD87-945C-461B-B121-72D523BB3097}" srcOrd="1" destOrd="0" presId="urn:microsoft.com/office/officeart/2005/8/layout/orgChart1"/>
    <dgm:cxn modelId="{553F2CB7-970F-4034-B8F7-0AA32EBBA80B}" type="presParOf" srcId="{2C4E519D-67BE-4A66-B545-0E87FFDA2673}" destId="{428A8C72-A3C2-48C1-B93C-1C4812C7CB2B}" srcOrd="2" destOrd="0" presId="urn:microsoft.com/office/officeart/2005/8/layout/orgChart1"/>
    <dgm:cxn modelId="{14D392B3-EE6A-4F24-A0B2-64E585516AB0}" type="presParOf" srcId="{7DA6053B-9422-42D6-B26D-B549751CE830}" destId="{3A3AD101-360F-4C41-B026-255081C7BF83}" srcOrd="8" destOrd="0" presId="urn:microsoft.com/office/officeart/2005/8/layout/orgChart1"/>
    <dgm:cxn modelId="{10250E71-B11B-4C74-80B9-FD32415A83CD}" type="presParOf" srcId="{7DA6053B-9422-42D6-B26D-B549751CE830}" destId="{AF3E22B0-26EF-452E-9A8E-CC6DC831464A}" srcOrd="9" destOrd="0" presId="urn:microsoft.com/office/officeart/2005/8/layout/orgChart1"/>
    <dgm:cxn modelId="{D8EB9BDA-FB86-451B-8045-BE49B3004D0D}" type="presParOf" srcId="{AF3E22B0-26EF-452E-9A8E-CC6DC831464A}" destId="{E01EF690-EB1E-4CC4-ACAE-CF13DF00BD31}" srcOrd="0" destOrd="0" presId="urn:microsoft.com/office/officeart/2005/8/layout/orgChart1"/>
    <dgm:cxn modelId="{54B4EF46-47FC-47B1-8806-5D2C5EEC7647}" type="presParOf" srcId="{E01EF690-EB1E-4CC4-ACAE-CF13DF00BD31}" destId="{7097C3D2-CB53-4B54-866C-CC4AE4FEAE1D}" srcOrd="0" destOrd="0" presId="urn:microsoft.com/office/officeart/2005/8/layout/orgChart1"/>
    <dgm:cxn modelId="{FF4C67D0-BEE6-485B-B2C9-CADFF89231A8}" type="presParOf" srcId="{E01EF690-EB1E-4CC4-ACAE-CF13DF00BD31}" destId="{040C64EA-5A1B-4DDC-BE1D-C35026736F5C}" srcOrd="1" destOrd="0" presId="urn:microsoft.com/office/officeart/2005/8/layout/orgChart1"/>
    <dgm:cxn modelId="{B64C49D5-57BB-403F-95E2-492DBF19BAE6}" type="presParOf" srcId="{AF3E22B0-26EF-452E-9A8E-CC6DC831464A}" destId="{C0BD3618-7B57-4571-8D71-EF56434C103E}" srcOrd="1" destOrd="0" presId="urn:microsoft.com/office/officeart/2005/8/layout/orgChart1"/>
    <dgm:cxn modelId="{596207F0-00EC-4BB0-AE55-C97F6FF5D527}" type="presParOf" srcId="{AF3E22B0-26EF-452E-9A8E-CC6DC831464A}" destId="{456F2238-DAEB-45DD-82BD-34CE8F41F439}" srcOrd="2" destOrd="0" presId="urn:microsoft.com/office/officeart/2005/8/layout/orgChart1"/>
    <dgm:cxn modelId="{95934A45-1587-4B58-874F-AAB830785DAC}" type="presParOf" srcId="{7DA6053B-9422-42D6-B26D-B549751CE830}" destId="{8D68BC4D-2482-4FBF-9A52-44F176EEF186}" srcOrd="10" destOrd="0" presId="urn:microsoft.com/office/officeart/2005/8/layout/orgChart1"/>
    <dgm:cxn modelId="{EBB9C386-8561-47CB-8D7E-B7E378006B73}" type="presParOf" srcId="{7DA6053B-9422-42D6-B26D-B549751CE830}" destId="{0D62EC93-556D-4E3B-B3FC-9ED02EC21195}" srcOrd="11" destOrd="0" presId="urn:microsoft.com/office/officeart/2005/8/layout/orgChart1"/>
    <dgm:cxn modelId="{36218B23-08A0-4ADE-90D0-DE4A82F19F2E}" type="presParOf" srcId="{0D62EC93-556D-4E3B-B3FC-9ED02EC21195}" destId="{FF7BCD8D-EBD4-4544-8D7C-749CDD0FD54F}" srcOrd="0" destOrd="0" presId="urn:microsoft.com/office/officeart/2005/8/layout/orgChart1"/>
    <dgm:cxn modelId="{611AD065-A15D-4726-8E67-78CA7A954C19}" type="presParOf" srcId="{FF7BCD8D-EBD4-4544-8D7C-749CDD0FD54F}" destId="{FEDC1200-0111-4825-B09F-FC7CB3E8647D}" srcOrd="0" destOrd="0" presId="urn:microsoft.com/office/officeart/2005/8/layout/orgChart1"/>
    <dgm:cxn modelId="{BC855841-319C-4C9A-BAC7-B02A1F554F82}" type="presParOf" srcId="{FF7BCD8D-EBD4-4544-8D7C-749CDD0FD54F}" destId="{0E1801E3-C936-4327-B108-BB2CFB15DFAA}" srcOrd="1" destOrd="0" presId="urn:microsoft.com/office/officeart/2005/8/layout/orgChart1"/>
    <dgm:cxn modelId="{77A20E46-D86A-41FD-B670-EE3900228A56}" type="presParOf" srcId="{0D62EC93-556D-4E3B-B3FC-9ED02EC21195}" destId="{8DB5A61D-BA4C-4766-9551-291F04D103DB}" srcOrd="1" destOrd="0" presId="urn:microsoft.com/office/officeart/2005/8/layout/orgChart1"/>
    <dgm:cxn modelId="{1587BCF0-976E-4EBE-8FE2-4E99DDDA2276}" type="presParOf" srcId="{0D62EC93-556D-4E3B-B3FC-9ED02EC21195}" destId="{FF8F4D13-5073-4537-BD3F-1FAEE158BE57}" srcOrd="2" destOrd="0" presId="urn:microsoft.com/office/officeart/2005/8/layout/orgChart1"/>
    <dgm:cxn modelId="{0D9F9BC4-1B2C-479A-848C-F83FDE094126}" type="presParOf" srcId="{CD51B1D0-CF97-4FCC-AACF-641C995590A4}" destId="{6A04AEA1-519D-48C9-94DD-C79E1194F4FA}" srcOrd="2" destOrd="0" presId="urn:microsoft.com/office/officeart/2005/8/layout/orgChart1"/>
    <dgm:cxn modelId="{D980E42F-F638-45E1-91AB-AD823DC8EA40}" type="presParOf" srcId="{42FEE44A-09A8-4FE9-B193-042A488840E8}" destId="{EB1E63A1-FF88-47B6-BFF9-FF7BD167F3C0}" srcOrd="2" destOrd="0" presId="urn:microsoft.com/office/officeart/2005/8/layout/orgChart1"/>
    <dgm:cxn modelId="{95AF9497-47FA-4B8C-9974-9865C28D09D8}" type="presParOf" srcId="{8629369B-5745-456A-B366-B96CA49379E0}" destId="{9CA69B82-1A52-453B-BC63-7F13F9F095E8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  <a:ext uri="{C62137D5-CB1D-491B-B009-E17868A290BF}">
      <dgm14:recolorImg xmlns:dgm14="http://schemas.microsoft.com/office/drawing/2010/diagram" val="1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819C3C-3219-42A5-AC37-EE68492AC14F}">
      <dsp:nvSpPr>
        <dsp:cNvPr id="0" name=""/>
        <dsp:cNvSpPr/>
      </dsp:nvSpPr>
      <dsp:spPr>
        <a:xfrm>
          <a:off x="6234112" y="504840"/>
          <a:ext cx="4238028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4238028" y="105075"/>
              </a:lnTo>
              <a:lnTo>
                <a:pt x="4238028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8A7734-128F-4A82-97A7-B6A76168CB90}">
      <dsp:nvSpPr>
        <dsp:cNvPr id="0" name=""/>
        <dsp:cNvSpPr/>
      </dsp:nvSpPr>
      <dsp:spPr>
        <a:xfrm>
          <a:off x="6234112" y="504840"/>
          <a:ext cx="3027163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3027163" y="105075"/>
              </a:lnTo>
              <a:lnTo>
                <a:pt x="3027163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4E41716-ECC1-4D56-B0D8-E3C2ACCE5B9E}">
      <dsp:nvSpPr>
        <dsp:cNvPr id="0" name=""/>
        <dsp:cNvSpPr/>
      </dsp:nvSpPr>
      <dsp:spPr>
        <a:xfrm>
          <a:off x="7650124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821EF9E-B015-4976-A7A3-C26263BCD773}">
      <dsp:nvSpPr>
        <dsp:cNvPr id="0" name=""/>
        <dsp:cNvSpPr/>
      </dsp:nvSpPr>
      <dsp:spPr>
        <a:xfrm>
          <a:off x="7650124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54154A-4125-441E-A3C3-BE87A8A5278D}">
      <dsp:nvSpPr>
        <dsp:cNvPr id="0" name=""/>
        <dsp:cNvSpPr/>
      </dsp:nvSpPr>
      <dsp:spPr>
        <a:xfrm>
          <a:off x="7650124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48BFB23-C118-4F73-8CA6-958D6B5B7104}">
      <dsp:nvSpPr>
        <dsp:cNvPr id="0" name=""/>
        <dsp:cNvSpPr/>
      </dsp:nvSpPr>
      <dsp:spPr>
        <a:xfrm>
          <a:off x="7650124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3B6BBB-D919-42E1-AD07-AFF078258EEC}">
      <dsp:nvSpPr>
        <dsp:cNvPr id="0" name=""/>
        <dsp:cNvSpPr/>
      </dsp:nvSpPr>
      <dsp:spPr>
        <a:xfrm>
          <a:off x="7650124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D98E36D-0E73-406B-842D-48D8840A37AF}">
      <dsp:nvSpPr>
        <dsp:cNvPr id="0" name=""/>
        <dsp:cNvSpPr/>
      </dsp:nvSpPr>
      <dsp:spPr>
        <a:xfrm>
          <a:off x="6234112" y="504840"/>
          <a:ext cx="1816297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1816297" y="105075"/>
              </a:lnTo>
              <a:lnTo>
                <a:pt x="1816297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D4E9AF-A8C5-4CB4-BB6A-11CB23EE5008}">
      <dsp:nvSpPr>
        <dsp:cNvPr id="0" name=""/>
        <dsp:cNvSpPr/>
      </dsp:nvSpPr>
      <dsp:spPr>
        <a:xfrm>
          <a:off x="6439259" y="1215347"/>
          <a:ext cx="150107" cy="75654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565406"/>
              </a:lnTo>
              <a:lnTo>
                <a:pt x="150107" y="756540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82CC62-158D-4855-A22D-8483BB727345}">
      <dsp:nvSpPr>
        <dsp:cNvPr id="0" name=""/>
        <dsp:cNvSpPr/>
      </dsp:nvSpPr>
      <dsp:spPr>
        <a:xfrm>
          <a:off x="6439259" y="1215347"/>
          <a:ext cx="150107" cy="68548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854898"/>
              </a:lnTo>
              <a:lnTo>
                <a:pt x="150107" y="685489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F3770C1-95F9-4EDB-BCEB-322B4EC773F6}">
      <dsp:nvSpPr>
        <dsp:cNvPr id="0" name=""/>
        <dsp:cNvSpPr/>
      </dsp:nvSpPr>
      <dsp:spPr>
        <a:xfrm>
          <a:off x="6439259" y="1215347"/>
          <a:ext cx="150107" cy="61443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144390"/>
              </a:lnTo>
              <a:lnTo>
                <a:pt x="150107" y="6144390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48F876B-E914-4F2C-A2B4-72ADC2E0A02E}">
      <dsp:nvSpPr>
        <dsp:cNvPr id="0" name=""/>
        <dsp:cNvSpPr/>
      </dsp:nvSpPr>
      <dsp:spPr>
        <a:xfrm>
          <a:off x="6439259" y="1215347"/>
          <a:ext cx="150107" cy="54338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433882"/>
              </a:lnTo>
              <a:lnTo>
                <a:pt x="150107" y="543388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162819-77D1-487D-83B1-B8232BE88684}">
      <dsp:nvSpPr>
        <dsp:cNvPr id="0" name=""/>
        <dsp:cNvSpPr/>
      </dsp:nvSpPr>
      <dsp:spPr>
        <a:xfrm>
          <a:off x="6439259" y="1215347"/>
          <a:ext cx="150107" cy="47233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23375"/>
              </a:lnTo>
              <a:lnTo>
                <a:pt x="150107" y="472337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0F0CDD-8BA9-4974-AA2D-9DD2124151F5}">
      <dsp:nvSpPr>
        <dsp:cNvPr id="0" name=""/>
        <dsp:cNvSpPr/>
      </dsp:nvSpPr>
      <dsp:spPr>
        <a:xfrm>
          <a:off x="6439259" y="1215347"/>
          <a:ext cx="150107" cy="4012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12867"/>
              </a:lnTo>
              <a:lnTo>
                <a:pt x="150107" y="401286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C7DCB91-1240-4330-95A8-401C5DB06BAF}">
      <dsp:nvSpPr>
        <dsp:cNvPr id="0" name=""/>
        <dsp:cNvSpPr/>
      </dsp:nvSpPr>
      <dsp:spPr>
        <a:xfrm>
          <a:off x="6439259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295849E-3CB4-4E08-BD6A-5C2F3485E851}">
      <dsp:nvSpPr>
        <dsp:cNvPr id="0" name=""/>
        <dsp:cNvSpPr/>
      </dsp:nvSpPr>
      <dsp:spPr>
        <a:xfrm>
          <a:off x="6439259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5B5E24-9DF5-4005-A495-30F8253DDEE5}">
      <dsp:nvSpPr>
        <dsp:cNvPr id="0" name=""/>
        <dsp:cNvSpPr/>
      </dsp:nvSpPr>
      <dsp:spPr>
        <a:xfrm>
          <a:off x="6439259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6EAB58-8111-467D-BA44-029831F621E7}">
      <dsp:nvSpPr>
        <dsp:cNvPr id="0" name=""/>
        <dsp:cNvSpPr/>
      </dsp:nvSpPr>
      <dsp:spPr>
        <a:xfrm>
          <a:off x="6439259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6F7F3C1-B314-4697-9548-6102ADFB2845}">
      <dsp:nvSpPr>
        <dsp:cNvPr id="0" name=""/>
        <dsp:cNvSpPr/>
      </dsp:nvSpPr>
      <dsp:spPr>
        <a:xfrm>
          <a:off x="6439259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C2E0B4-20B6-4B29-872A-E789C48FE189}">
      <dsp:nvSpPr>
        <dsp:cNvPr id="0" name=""/>
        <dsp:cNvSpPr/>
      </dsp:nvSpPr>
      <dsp:spPr>
        <a:xfrm>
          <a:off x="6234112" y="504840"/>
          <a:ext cx="605432" cy="2101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5075"/>
              </a:lnTo>
              <a:lnTo>
                <a:pt x="605432" y="105075"/>
              </a:lnTo>
              <a:lnTo>
                <a:pt x="605432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80243A-C60B-4CE6-ADC6-34706B6E7309}">
      <dsp:nvSpPr>
        <dsp:cNvPr id="0" name=""/>
        <dsp:cNvSpPr/>
      </dsp:nvSpPr>
      <dsp:spPr>
        <a:xfrm>
          <a:off x="5228393" y="1215347"/>
          <a:ext cx="150107" cy="4012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12867"/>
              </a:lnTo>
              <a:lnTo>
                <a:pt x="150107" y="401286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7E0782B-F175-47B9-A280-09E5C1F5D874}">
      <dsp:nvSpPr>
        <dsp:cNvPr id="0" name=""/>
        <dsp:cNvSpPr/>
      </dsp:nvSpPr>
      <dsp:spPr>
        <a:xfrm>
          <a:off x="5228393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68D7C4-A3B5-42BC-9E1D-AA5F77A5491E}">
      <dsp:nvSpPr>
        <dsp:cNvPr id="0" name=""/>
        <dsp:cNvSpPr/>
      </dsp:nvSpPr>
      <dsp:spPr>
        <a:xfrm>
          <a:off x="5228393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8A8082-B83C-4BEF-8C5A-9ECF10C669CA}">
      <dsp:nvSpPr>
        <dsp:cNvPr id="0" name=""/>
        <dsp:cNvSpPr/>
      </dsp:nvSpPr>
      <dsp:spPr>
        <a:xfrm>
          <a:off x="5228393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C62EB6B-4A5A-467E-BF2C-A1B79BCBE15D}">
      <dsp:nvSpPr>
        <dsp:cNvPr id="0" name=""/>
        <dsp:cNvSpPr/>
      </dsp:nvSpPr>
      <dsp:spPr>
        <a:xfrm>
          <a:off x="5228393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997D6A-465A-45C6-A0DF-F337D8CF8718}">
      <dsp:nvSpPr>
        <dsp:cNvPr id="0" name=""/>
        <dsp:cNvSpPr/>
      </dsp:nvSpPr>
      <dsp:spPr>
        <a:xfrm>
          <a:off x="5228393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B8189D4-1EF2-475C-B613-8260DFDA68B3}">
      <dsp:nvSpPr>
        <dsp:cNvPr id="0" name=""/>
        <dsp:cNvSpPr/>
      </dsp:nvSpPr>
      <dsp:spPr>
        <a:xfrm>
          <a:off x="5628679" y="504840"/>
          <a:ext cx="605432" cy="210150"/>
        </a:xfrm>
        <a:custGeom>
          <a:avLst/>
          <a:gdLst/>
          <a:ahLst/>
          <a:cxnLst/>
          <a:rect l="0" t="0" r="0" b="0"/>
          <a:pathLst>
            <a:path>
              <a:moveTo>
                <a:pt x="605432" y="0"/>
              </a:moveTo>
              <a:lnTo>
                <a:pt x="605432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A5E2B5-1080-4877-A9FD-EC40A90BDFA5}">
      <dsp:nvSpPr>
        <dsp:cNvPr id="0" name=""/>
        <dsp:cNvSpPr/>
      </dsp:nvSpPr>
      <dsp:spPr>
        <a:xfrm>
          <a:off x="4017528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0ABCFFC-29E8-4D6E-8965-3362DE5BD75D}">
      <dsp:nvSpPr>
        <dsp:cNvPr id="0" name=""/>
        <dsp:cNvSpPr/>
      </dsp:nvSpPr>
      <dsp:spPr>
        <a:xfrm>
          <a:off x="4017528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79DAD1E-324F-4CBD-BB38-9A21D24EBF88}">
      <dsp:nvSpPr>
        <dsp:cNvPr id="0" name=""/>
        <dsp:cNvSpPr/>
      </dsp:nvSpPr>
      <dsp:spPr>
        <a:xfrm>
          <a:off x="4017528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5668C6-28E3-4F20-9B2F-C4347CA5EE73}">
      <dsp:nvSpPr>
        <dsp:cNvPr id="0" name=""/>
        <dsp:cNvSpPr/>
      </dsp:nvSpPr>
      <dsp:spPr>
        <a:xfrm>
          <a:off x="4017528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3A9DA3-5D97-4290-A2AB-F85B3A89546F}">
      <dsp:nvSpPr>
        <dsp:cNvPr id="0" name=""/>
        <dsp:cNvSpPr/>
      </dsp:nvSpPr>
      <dsp:spPr>
        <a:xfrm>
          <a:off x="4417814" y="504840"/>
          <a:ext cx="1816297" cy="210150"/>
        </a:xfrm>
        <a:custGeom>
          <a:avLst/>
          <a:gdLst/>
          <a:ahLst/>
          <a:cxnLst/>
          <a:rect l="0" t="0" r="0" b="0"/>
          <a:pathLst>
            <a:path>
              <a:moveTo>
                <a:pt x="1816297" y="0"/>
              </a:moveTo>
              <a:lnTo>
                <a:pt x="1816297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034DB2-1B9D-49AC-A7E9-0B6784A172BC}">
      <dsp:nvSpPr>
        <dsp:cNvPr id="0" name=""/>
        <dsp:cNvSpPr/>
      </dsp:nvSpPr>
      <dsp:spPr>
        <a:xfrm>
          <a:off x="2806663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2660A8-481C-44E5-BF2A-024AB741918C}">
      <dsp:nvSpPr>
        <dsp:cNvPr id="0" name=""/>
        <dsp:cNvSpPr/>
      </dsp:nvSpPr>
      <dsp:spPr>
        <a:xfrm>
          <a:off x="2806663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957C05-994D-4657-BAED-D070E526985D}">
      <dsp:nvSpPr>
        <dsp:cNvPr id="0" name=""/>
        <dsp:cNvSpPr/>
      </dsp:nvSpPr>
      <dsp:spPr>
        <a:xfrm>
          <a:off x="2806663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82027A8-3E90-44F9-8A2B-4453A1C7A3CE}">
      <dsp:nvSpPr>
        <dsp:cNvPr id="0" name=""/>
        <dsp:cNvSpPr/>
      </dsp:nvSpPr>
      <dsp:spPr>
        <a:xfrm>
          <a:off x="2806663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E822372-A48C-4BA2-A644-6839E4055D14}">
      <dsp:nvSpPr>
        <dsp:cNvPr id="0" name=""/>
        <dsp:cNvSpPr/>
      </dsp:nvSpPr>
      <dsp:spPr>
        <a:xfrm>
          <a:off x="3206949" y="504840"/>
          <a:ext cx="3027163" cy="210150"/>
        </a:xfrm>
        <a:custGeom>
          <a:avLst/>
          <a:gdLst/>
          <a:ahLst/>
          <a:cxnLst/>
          <a:rect l="0" t="0" r="0" b="0"/>
          <a:pathLst>
            <a:path>
              <a:moveTo>
                <a:pt x="3027163" y="0"/>
              </a:moveTo>
              <a:lnTo>
                <a:pt x="3027163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296B69-5B92-4AD8-A3DF-EB796293B9BE}">
      <dsp:nvSpPr>
        <dsp:cNvPr id="0" name=""/>
        <dsp:cNvSpPr/>
      </dsp:nvSpPr>
      <dsp:spPr>
        <a:xfrm>
          <a:off x="1595798" y="1215347"/>
          <a:ext cx="150107" cy="472337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23375"/>
              </a:lnTo>
              <a:lnTo>
                <a:pt x="150107" y="4723375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8E1870-07B7-45F1-9B39-6D26ED95C6E5}">
      <dsp:nvSpPr>
        <dsp:cNvPr id="0" name=""/>
        <dsp:cNvSpPr/>
      </dsp:nvSpPr>
      <dsp:spPr>
        <a:xfrm>
          <a:off x="1595798" y="1215347"/>
          <a:ext cx="150107" cy="401286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12867"/>
              </a:lnTo>
              <a:lnTo>
                <a:pt x="150107" y="4012867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B48BFC8-5CAE-43E3-B30B-05EAA6610A12}">
      <dsp:nvSpPr>
        <dsp:cNvPr id="0" name=""/>
        <dsp:cNvSpPr/>
      </dsp:nvSpPr>
      <dsp:spPr>
        <a:xfrm>
          <a:off x="1595798" y="1215347"/>
          <a:ext cx="150107" cy="330235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02359"/>
              </a:lnTo>
              <a:lnTo>
                <a:pt x="150107" y="3302359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D0518A-5054-4B2F-8947-40581324F440}">
      <dsp:nvSpPr>
        <dsp:cNvPr id="0" name=""/>
        <dsp:cNvSpPr/>
      </dsp:nvSpPr>
      <dsp:spPr>
        <a:xfrm>
          <a:off x="1595798" y="1215347"/>
          <a:ext cx="150107" cy="259185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91852"/>
              </a:lnTo>
              <a:lnTo>
                <a:pt x="150107" y="2591852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ADBF1B-9685-4B68-8BEC-85007486F1C8}">
      <dsp:nvSpPr>
        <dsp:cNvPr id="0" name=""/>
        <dsp:cNvSpPr/>
      </dsp:nvSpPr>
      <dsp:spPr>
        <a:xfrm>
          <a:off x="1595798" y="1215347"/>
          <a:ext cx="150107" cy="188134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81344"/>
              </a:lnTo>
              <a:lnTo>
                <a:pt x="150107" y="1881344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084D449-9063-4EA5-A644-A20205B72339}">
      <dsp:nvSpPr>
        <dsp:cNvPr id="0" name=""/>
        <dsp:cNvSpPr/>
      </dsp:nvSpPr>
      <dsp:spPr>
        <a:xfrm>
          <a:off x="1595798" y="1215347"/>
          <a:ext cx="150107" cy="117083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0836"/>
              </a:lnTo>
              <a:lnTo>
                <a:pt x="150107" y="1170836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3DD7F0-6C33-46D7-9CDA-49B91AA9F5B6}">
      <dsp:nvSpPr>
        <dsp:cNvPr id="0" name=""/>
        <dsp:cNvSpPr/>
      </dsp:nvSpPr>
      <dsp:spPr>
        <a:xfrm>
          <a:off x="1595798" y="1215347"/>
          <a:ext cx="150107" cy="46032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0328"/>
              </a:lnTo>
              <a:lnTo>
                <a:pt x="150107" y="460328"/>
              </a:lnTo>
            </a:path>
          </a:pathLst>
        </a:custGeom>
        <a:noFill/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116207-F2E1-45F9-A507-7BB37276A8F2}">
      <dsp:nvSpPr>
        <dsp:cNvPr id="0" name=""/>
        <dsp:cNvSpPr/>
      </dsp:nvSpPr>
      <dsp:spPr>
        <a:xfrm>
          <a:off x="1996084" y="504840"/>
          <a:ext cx="4238028" cy="210150"/>
        </a:xfrm>
        <a:custGeom>
          <a:avLst/>
          <a:gdLst/>
          <a:ahLst/>
          <a:cxnLst/>
          <a:rect l="0" t="0" r="0" b="0"/>
          <a:pathLst>
            <a:path>
              <a:moveTo>
                <a:pt x="4238028" y="0"/>
              </a:moveTo>
              <a:lnTo>
                <a:pt x="4238028" y="105075"/>
              </a:lnTo>
              <a:lnTo>
                <a:pt x="0" y="105075"/>
              </a:lnTo>
              <a:lnTo>
                <a:pt x="0" y="2101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9BF67E5-BA84-4202-87FD-1B0720324EDE}">
      <dsp:nvSpPr>
        <dsp:cNvPr id="0" name=""/>
        <dsp:cNvSpPr/>
      </dsp:nvSpPr>
      <dsp:spPr>
        <a:xfrm>
          <a:off x="5733754" y="4482"/>
          <a:ext cx="1000715" cy="500357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400" kern="1200"/>
            <a:t>DCT</a:t>
          </a:r>
        </a:p>
      </dsp:txBody>
      <dsp:txXfrm>
        <a:off x="5733754" y="4482"/>
        <a:ext cx="1000715" cy="500357"/>
      </dsp:txXfrm>
    </dsp:sp>
    <dsp:sp modelId="{9D36D084-842B-4769-B486-B0D564F5B2E2}">
      <dsp:nvSpPr>
        <dsp:cNvPr id="0" name=""/>
        <dsp:cNvSpPr/>
      </dsp:nvSpPr>
      <dsp:spPr>
        <a:xfrm>
          <a:off x="1495726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Tourism</a:t>
          </a:r>
        </a:p>
      </dsp:txBody>
      <dsp:txXfrm>
        <a:off x="1495726" y="714990"/>
        <a:ext cx="1000715" cy="500357"/>
      </dsp:txXfrm>
    </dsp:sp>
    <dsp:sp modelId="{BD7D9270-77FF-4A61-86D2-2D73A2EED3CC}">
      <dsp:nvSpPr>
        <dsp:cNvPr id="0" name=""/>
        <dsp:cNvSpPr/>
      </dsp:nvSpPr>
      <dsp:spPr>
        <a:xfrm>
          <a:off x="1745905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Licensing &amp; Regulatory Compliance Department</a:t>
          </a:r>
          <a:endParaRPr lang="en-US" sz="800" kern="1200"/>
        </a:p>
      </dsp:txBody>
      <dsp:txXfrm>
        <a:off x="1745905" y="1425497"/>
        <a:ext cx="1000715" cy="500357"/>
      </dsp:txXfrm>
    </dsp:sp>
    <dsp:sp modelId="{11E24951-FAF1-44ED-A77A-A29BE866770F}">
      <dsp:nvSpPr>
        <dsp:cNvPr id="0" name=""/>
        <dsp:cNvSpPr/>
      </dsp:nvSpPr>
      <dsp:spPr>
        <a:xfrm>
          <a:off x="1745905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Visitors Experience Department</a:t>
          </a:r>
          <a:endParaRPr lang="en-US" sz="800" kern="1200"/>
        </a:p>
      </dsp:txBody>
      <dsp:txXfrm>
        <a:off x="1745905" y="2136005"/>
        <a:ext cx="1000715" cy="500357"/>
      </dsp:txXfrm>
    </dsp:sp>
    <dsp:sp modelId="{0F3517A2-46D8-4431-BE54-8B6E2275C4F8}">
      <dsp:nvSpPr>
        <dsp:cNvPr id="0" name=""/>
        <dsp:cNvSpPr/>
      </dsp:nvSpPr>
      <dsp:spPr>
        <a:xfrm>
          <a:off x="1745905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Abu Dhabi Conventions &amp; Exhibition Bureau Department</a:t>
          </a:r>
          <a:endParaRPr lang="en-US" sz="800" kern="1200"/>
        </a:p>
      </dsp:txBody>
      <dsp:txXfrm>
        <a:off x="1745905" y="2846513"/>
        <a:ext cx="1000715" cy="500357"/>
      </dsp:txXfrm>
    </dsp:sp>
    <dsp:sp modelId="{7512449D-D039-4D97-B5A1-507866526137}">
      <dsp:nvSpPr>
        <dsp:cNvPr id="0" name=""/>
        <dsp:cNvSpPr/>
      </dsp:nvSpPr>
      <dsp:spPr>
        <a:xfrm>
          <a:off x="1745905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Abu Dhabi Events Bureau Department</a:t>
          </a:r>
          <a:endParaRPr lang="en-US" sz="800" kern="1200"/>
        </a:p>
      </dsp:txBody>
      <dsp:txXfrm>
        <a:off x="1745905" y="3557021"/>
        <a:ext cx="1000715" cy="500357"/>
      </dsp:txXfrm>
    </dsp:sp>
    <dsp:sp modelId="{9908689E-EE7C-4351-8855-E1EACABFB9F7}">
      <dsp:nvSpPr>
        <dsp:cNvPr id="0" name=""/>
        <dsp:cNvSpPr/>
      </dsp:nvSpPr>
      <dsp:spPr>
        <a:xfrm>
          <a:off x="1745905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Al Ain &amp; Al Dhafra Regional Development</a:t>
          </a:r>
          <a:endParaRPr lang="en-US" sz="800" kern="1200"/>
        </a:p>
      </dsp:txBody>
      <dsp:txXfrm>
        <a:off x="1745905" y="4267528"/>
        <a:ext cx="1000715" cy="500357"/>
      </dsp:txXfrm>
    </dsp:sp>
    <dsp:sp modelId="{FFF4A685-614C-4C1A-A450-9A23A762802C}">
      <dsp:nvSpPr>
        <dsp:cNvPr id="0" name=""/>
        <dsp:cNvSpPr/>
      </dsp:nvSpPr>
      <dsp:spPr>
        <a:xfrm>
          <a:off x="1745905" y="4978036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Tourism Sector Management Office</a:t>
          </a:r>
          <a:endParaRPr lang="en-US" sz="800" kern="1200"/>
        </a:p>
      </dsp:txBody>
      <dsp:txXfrm>
        <a:off x="1745905" y="4978036"/>
        <a:ext cx="1000715" cy="500357"/>
      </dsp:txXfrm>
    </dsp:sp>
    <dsp:sp modelId="{DEE4ADA9-6824-49AE-BB2C-2CA1D49EF755}">
      <dsp:nvSpPr>
        <dsp:cNvPr id="0" name=""/>
        <dsp:cNvSpPr/>
      </dsp:nvSpPr>
      <dsp:spPr>
        <a:xfrm>
          <a:off x="1745905" y="5688544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International Operations Department</a:t>
          </a:r>
          <a:endParaRPr lang="en-US" sz="800" kern="1200"/>
        </a:p>
      </dsp:txBody>
      <dsp:txXfrm>
        <a:off x="1745905" y="5688544"/>
        <a:ext cx="1000715" cy="500357"/>
      </dsp:txXfrm>
    </dsp:sp>
    <dsp:sp modelId="{256BED32-9DC0-4F29-99EC-570332BC2EF6}">
      <dsp:nvSpPr>
        <dsp:cNvPr id="0" name=""/>
        <dsp:cNvSpPr/>
      </dsp:nvSpPr>
      <dsp:spPr>
        <a:xfrm>
          <a:off x="2706591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MarCom</a:t>
          </a:r>
        </a:p>
      </dsp:txBody>
      <dsp:txXfrm>
        <a:off x="2706591" y="714990"/>
        <a:ext cx="1000715" cy="500357"/>
      </dsp:txXfrm>
    </dsp:sp>
    <dsp:sp modelId="{67213DB3-AE86-4556-9FBF-5F35C777AABE}">
      <dsp:nvSpPr>
        <dsp:cNvPr id="0" name=""/>
        <dsp:cNvSpPr/>
      </dsp:nvSpPr>
      <dsp:spPr>
        <a:xfrm>
          <a:off x="2956770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Creative and Production Department</a:t>
          </a:r>
          <a:endParaRPr lang="en-US" sz="800" kern="1200"/>
        </a:p>
      </dsp:txBody>
      <dsp:txXfrm>
        <a:off x="2956770" y="1425497"/>
        <a:ext cx="1000715" cy="500357"/>
      </dsp:txXfrm>
    </dsp:sp>
    <dsp:sp modelId="{6A449FB0-8ACA-4442-AF28-A96A2E21CFD0}">
      <dsp:nvSpPr>
        <dsp:cNvPr id="0" name=""/>
        <dsp:cNvSpPr/>
      </dsp:nvSpPr>
      <dsp:spPr>
        <a:xfrm>
          <a:off x="2956770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strategic Communications Department</a:t>
          </a:r>
          <a:endParaRPr lang="en-US" sz="800" kern="1200"/>
        </a:p>
      </dsp:txBody>
      <dsp:txXfrm>
        <a:off x="2956770" y="2136005"/>
        <a:ext cx="1000715" cy="500357"/>
      </dsp:txXfrm>
    </dsp:sp>
    <dsp:sp modelId="{79C0AC3B-7363-4806-81AE-14FF31A20713}">
      <dsp:nvSpPr>
        <dsp:cNvPr id="0" name=""/>
        <dsp:cNvSpPr/>
      </dsp:nvSpPr>
      <dsp:spPr>
        <a:xfrm>
          <a:off x="2956770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Planning, Strategy &amp; Operations Department</a:t>
          </a:r>
          <a:endParaRPr lang="en-US" sz="800" kern="1200"/>
        </a:p>
      </dsp:txBody>
      <dsp:txXfrm>
        <a:off x="2956770" y="2846513"/>
        <a:ext cx="1000715" cy="500357"/>
      </dsp:txXfrm>
    </dsp:sp>
    <dsp:sp modelId="{F749C274-C20E-4C56-8643-81FAF1228ABA}">
      <dsp:nvSpPr>
        <dsp:cNvPr id="0" name=""/>
        <dsp:cNvSpPr/>
      </dsp:nvSpPr>
      <dsp:spPr>
        <a:xfrm>
          <a:off x="2956770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Sector Marketing</a:t>
          </a:r>
          <a:endParaRPr lang="en-US" sz="800" kern="1200"/>
        </a:p>
      </dsp:txBody>
      <dsp:txXfrm>
        <a:off x="2956770" y="3557021"/>
        <a:ext cx="1000715" cy="500357"/>
      </dsp:txXfrm>
    </dsp:sp>
    <dsp:sp modelId="{1B8D084A-5E64-4227-8AA1-46976866E2F0}">
      <dsp:nvSpPr>
        <dsp:cNvPr id="0" name=""/>
        <dsp:cNvSpPr/>
      </dsp:nvSpPr>
      <dsp:spPr>
        <a:xfrm>
          <a:off x="3917457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Strategic Affairs</a:t>
          </a:r>
          <a:endParaRPr lang="en-US" sz="800" kern="1200"/>
        </a:p>
      </dsp:txBody>
      <dsp:txXfrm>
        <a:off x="3917457" y="714990"/>
        <a:ext cx="1000715" cy="500357"/>
      </dsp:txXfrm>
    </dsp:sp>
    <dsp:sp modelId="{3A815C92-D8B5-4F9F-BFBB-C6857FDC1142}">
      <dsp:nvSpPr>
        <dsp:cNvPr id="0" name=""/>
        <dsp:cNvSpPr/>
      </dsp:nvSpPr>
      <dsp:spPr>
        <a:xfrm>
          <a:off x="4167635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Office of the Strategic Affairs Executive Director</a:t>
          </a:r>
          <a:endParaRPr lang="en-US" sz="800" kern="1200"/>
        </a:p>
      </dsp:txBody>
      <dsp:txXfrm>
        <a:off x="4167635" y="1425497"/>
        <a:ext cx="1000715" cy="500357"/>
      </dsp:txXfrm>
    </dsp:sp>
    <dsp:sp modelId="{C808DAF5-007B-424C-B8AF-8FE9C721018F}">
      <dsp:nvSpPr>
        <dsp:cNvPr id="0" name=""/>
        <dsp:cNvSpPr/>
      </dsp:nvSpPr>
      <dsp:spPr>
        <a:xfrm>
          <a:off x="4167635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Strategy Planning</a:t>
          </a:r>
          <a:endParaRPr lang="en-US" sz="800" kern="1200"/>
        </a:p>
      </dsp:txBody>
      <dsp:txXfrm>
        <a:off x="4167635" y="2136005"/>
        <a:ext cx="1000715" cy="500357"/>
      </dsp:txXfrm>
    </dsp:sp>
    <dsp:sp modelId="{7989FF66-9F60-46CB-ACCC-307936E85A62}">
      <dsp:nvSpPr>
        <dsp:cNvPr id="0" name=""/>
        <dsp:cNvSpPr/>
      </dsp:nvSpPr>
      <dsp:spPr>
        <a:xfrm>
          <a:off x="4167635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Business Intelligence</a:t>
          </a:r>
          <a:endParaRPr lang="en-US" sz="800" kern="1200"/>
        </a:p>
      </dsp:txBody>
      <dsp:txXfrm>
        <a:off x="4167635" y="2846513"/>
        <a:ext cx="1000715" cy="500357"/>
      </dsp:txXfrm>
    </dsp:sp>
    <dsp:sp modelId="{FAFDCDCE-E742-4F5C-9042-47A3210826AF}">
      <dsp:nvSpPr>
        <dsp:cNvPr id="0" name=""/>
        <dsp:cNvSpPr/>
      </dsp:nvSpPr>
      <dsp:spPr>
        <a:xfrm>
          <a:off x="4167635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Business Excellence and Continuity</a:t>
          </a:r>
          <a:endParaRPr lang="en-US" sz="800" kern="1200"/>
        </a:p>
      </dsp:txBody>
      <dsp:txXfrm>
        <a:off x="4167635" y="3557021"/>
        <a:ext cx="1000715" cy="500357"/>
      </dsp:txXfrm>
    </dsp:sp>
    <dsp:sp modelId="{3B4006D6-959F-4E14-82BA-F0259EFFF137}">
      <dsp:nvSpPr>
        <dsp:cNvPr id="0" name=""/>
        <dsp:cNvSpPr/>
      </dsp:nvSpPr>
      <dsp:spPr>
        <a:xfrm>
          <a:off x="5128322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Support Services</a:t>
          </a:r>
          <a:endParaRPr lang="en-US" sz="800" kern="1200"/>
        </a:p>
      </dsp:txBody>
      <dsp:txXfrm>
        <a:off x="5128322" y="714990"/>
        <a:ext cx="1000715" cy="500357"/>
      </dsp:txXfrm>
    </dsp:sp>
    <dsp:sp modelId="{4D573F0E-FFFE-4F4C-B8F3-9709269791EA}">
      <dsp:nvSpPr>
        <dsp:cNvPr id="0" name=""/>
        <dsp:cNvSpPr/>
      </dsp:nvSpPr>
      <dsp:spPr>
        <a:xfrm>
          <a:off x="5378501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Support Services (Central) Dept</a:t>
          </a:r>
          <a:endParaRPr lang="en-US" sz="800" kern="1200"/>
        </a:p>
      </dsp:txBody>
      <dsp:txXfrm>
        <a:off x="5378501" y="1425497"/>
        <a:ext cx="1000715" cy="500357"/>
      </dsp:txXfrm>
    </dsp:sp>
    <dsp:sp modelId="{A2759D17-BBBC-41C5-AA1C-A657446A9475}">
      <dsp:nvSpPr>
        <dsp:cNvPr id="0" name=""/>
        <dsp:cNvSpPr/>
      </dsp:nvSpPr>
      <dsp:spPr>
        <a:xfrm>
          <a:off x="5378501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Finance Dept</a:t>
          </a:r>
          <a:endParaRPr lang="en-US" sz="800" kern="1200"/>
        </a:p>
      </dsp:txBody>
      <dsp:txXfrm>
        <a:off x="5378501" y="2136005"/>
        <a:ext cx="1000715" cy="500357"/>
      </dsp:txXfrm>
    </dsp:sp>
    <dsp:sp modelId="{B1FCD531-9A95-4D48-8038-660AD4F8AB2B}">
      <dsp:nvSpPr>
        <dsp:cNvPr id="0" name=""/>
        <dsp:cNvSpPr/>
      </dsp:nvSpPr>
      <dsp:spPr>
        <a:xfrm>
          <a:off x="5378501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People &amp; Performance Dept</a:t>
          </a:r>
          <a:endParaRPr lang="en-US" sz="800" kern="1200"/>
        </a:p>
      </dsp:txBody>
      <dsp:txXfrm>
        <a:off x="5378501" y="2846513"/>
        <a:ext cx="1000715" cy="500357"/>
      </dsp:txXfrm>
    </dsp:sp>
    <dsp:sp modelId="{19AA5BE0-6440-4746-8832-09CB958D92DF}">
      <dsp:nvSpPr>
        <dsp:cNvPr id="0" name=""/>
        <dsp:cNvSpPr/>
      </dsp:nvSpPr>
      <dsp:spPr>
        <a:xfrm>
          <a:off x="5378501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Facility &amp; General Services Management</a:t>
          </a:r>
          <a:endParaRPr lang="en-US" sz="800" kern="1200"/>
        </a:p>
      </dsp:txBody>
      <dsp:txXfrm>
        <a:off x="5378501" y="3557021"/>
        <a:ext cx="1000715" cy="500357"/>
      </dsp:txXfrm>
    </dsp:sp>
    <dsp:sp modelId="{CCC553FB-15F4-413A-8847-94F5B2AD648E}">
      <dsp:nvSpPr>
        <dsp:cNvPr id="0" name=""/>
        <dsp:cNvSpPr/>
      </dsp:nvSpPr>
      <dsp:spPr>
        <a:xfrm>
          <a:off x="5378501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Supply Management Dept</a:t>
          </a:r>
          <a:endParaRPr lang="en-US" sz="800" kern="1200"/>
        </a:p>
      </dsp:txBody>
      <dsp:txXfrm>
        <a:off x="5378501" y="4267528"/>
        <a:ext cx="1000715" cy="500357"/>
      </dsp:txXfrm>
    </dsp:sp>
    <dsp:sp modelId="{F81BC637-045E-4D5E-BA82-CB624F3517B0}">
      <dsp:nvSpPr>
        <dsp:cNvPr id="0" name=""/>
        <dsp:cNvSpPr/>
      </dsp:nvSpPr>
      <dsp:spPr>
        <a:xfrm>
          <a:off x="5378501" y="4978036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Smart Systems &amp; GovernmentServices Dept</a:t>
          </a:r>
          <a:endParaRPr lang="en-US" sz="800" kern="1200"/>
        </a:p>
      </dsp:txBody>
      <dsp:txXfrm>
        <a:off x="5378501" y="4978036"/>
        <a:ext cx="1000715" cy="500357"/>
      </dsp:txXfrm>
    </dsp:sp>
    <dsp:sp modelId="{72CE9576-3485-41D6-B016-AEAFEC45C168}">
      <dsp:nvSpPr>
        <dsp:cNvPr id="0" name=""/>
        <dsp:cNvSpPr/>
      </dsp:nvSpPr>
      <dsp:spPr>
        <a:xfrm>
          <a:off x="6339187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Culture</a:t>
          </a:r>
        </a:p>
      </dsp:txBody>
      <dsp:txXfrm>
        <a:off x="6339187" y="714990"/>
        <a:ext cx="1000715" cy="500357"/>
      </dsp:txXfrm>
    </dsp:sp>
    <dsp:sp modelId="{322C1AAB-D5B9-4A45-B7D8-02646F779554}">
      <dsp:nvSpPr>
        <dsp:cNvPr id="0" name=""/>
        <dsp:cNvSpPr/>
      </dsp:nvSpPr>
      <dsp:spPr>
        <a:xfrm>
          <a:off x="6589366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Historical Environment Dept</a:t>
          </a:r>
          <a:endParaRPr lang="en-US" sz="800" kern="1200"/>
        </a:p>
      </dsp:txBody>
      <dsp:txXfrm>
        <a:off x="6589366" y="1425497"/>
        <a:ext cx="1000715" cy="500357"/>
      </dsp:txXfrm>
    </dsp:sp>
    <dsp:sp modelId="{98EF1D53-F3BB-4809-9EA1-E05EB58F62D9}">
      <dsp:nvSpPr>
        <dsp:cNvPr id="0" name=""/>
        <dsp:cNvSpPr/>
      </dsp:nvSpPr>
      <dsp:spPr>
        <a:xfrm>
          <a:off x="6589366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Intangible Heritage Dept</a:t>
          </a:r>
          <a:endParaRPr lang="en-US" sz="800" kern="1200"/>
        </a:p>
      </dsp:txBody>
      <dsp:txXfrm>
        <a:off x="6589366" y="2136005"/>
        <a:ext cx="1000715" cy="500357"/>
      </dsp:txXfrm>
    </dsp:sp>
    <dsp:sp modelId="{1BECE26A-8A62-446F-BB08-D2896523E025}">
      <dsp:nvSpPr>
        <dsp:cNvPr id="0" name=""/>
        <dsp:cNvSpPr/>
      </dsp:nvSpPr>
      <dsp:spPr>
        <a:xfrm>
          <a:off x="6589366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library</a:t>
          </a:r>
          <a:endParaRPr lang="en-US" sz="800" kern="1200"/>
        </a:p>
      </dsp:txBody>
      <dsp:txXfrm>
        <a:off x="6589366" y="2846513"/>
        <a:ext cx="1000715" cy="500357"/>
      </dsp:txXfrm>
    </dsp:sp>
    <dsp:sp modelId="{BA3A29EB-5F49-4CE7-A2B4-9BA3179FCCF7}">
      <dsp:nvSpPr>
        <dsp:cNvPr id="0" name=""/>
        <dsp:cNvSpPr/>
      </dsp:nvSpPr>
      <dsp:spPr>
        <a:xfrm>
          <a:off x="6589366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Culture (Central) Dept</a:t>
          </a:r>
          <a:endParaRPr lang="en-US" sz="800" kern="1200"/>
        </a:p>
      </dsp:txBody>
      <dsp:txXfrm>
        <a:off x="6589366" y="3557021"/>
        <a:ext cx="1000715" cy="500357"/>
      </dsp:txXfrm>
    </dsp:sp>
    <dsp:sp modelId="{B63C4D28-9667-4A87-8BC2-DCB5D1A6D355}">
      <dsp:nvSpPr>
        <dsp:cNvPr id="0" name=""/>
        <dsp:cNvSpPr/>
      </dsp:nvSpPr>
      <dsp:spPr>
        <a:xfrm>
          <a:off x="6589366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Abu Dhabi Public Art </a:t>
          </a:r>
          <a:endParaRPr lang="en-US" sz="800" kern="1200"/>
        </a:p>
      </dsp:txBody>
      <dsp:txXfrm>
        <a:off x="6589366" y="4267528"/>
        <a:ext cx="1000715" cy="500357"/>
      </dsp:txXfrm>
    </dsp:sp>
    <dsp:sp modelId="{0D3110FA-324F-49A8-996A-15A0FDA711CC}">
      <dsp:nvSpPr>
        <dsp:cNvPr id="0" name=""/>
        <dsp:cNvSpPr/>
      </dsp:nvSpPr>
      <dsp:spPr>
        <a:xfrm>
          <a:off x="6589366" y="4978036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Culture Planning &amp; Development Dept.</a:t>
          </a:r>
          <a:endParaRPr lang="en-US" sz="800" kern="1200"/>
        </a:p>
      </dsp:txBody>
      <dsp:txXfrm>
        <a:off x="6589366" y="4978036"/>
        <a:ext cx="1000715" cy="500357"/>
      </dsp:txXfrm>
    </dsp:sp>
    <dsp:sp modelId="{9A49ABE6-AB50-4691-B46D-6DC5CC79EC1A}">
      <dsp:nvSpPr>
        <dsp:cNvPr id="0" name=""/>
        <dsp:cNvSpPr/>
      </dsp:nvSpPr>
      <dsp:spPr>
        <a:xfrm>
          <a:off x="6589366" y="5688544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Cultural Sites Dept</a:t>
          </a:r>
          <a:endParaRPr lang="en-US" sz="800" kern="1200"/>
        </a:p>
      </dsp:txBody>
      <dsp:txXfrm>
        <a:off x="6589366" y="5688544"/>
        <a:ext cx="1000715" cy="500357"/>
      </dsp:txXfrm>
    </dsp:sp>
    <dsp:sp modelId="{83A7B532-D19D-4D05-A41B-C8F7CF93A29B}">
      <dsp:nvSpPr>
        <dsp:cNvPr id="0" name=""/>
        <dsp:cNvSpPr/>
      </dsp:nvSpPr>
      <dsp:spPr>
        <a:xfrm>
          <a:off x="6589366" y="639905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 Marketing &amp; Communication Dept.</a:t>
          </a:r>
          <a:endParaRPr lang="en-US" sz="800" kern="1200"/>
        </a:p>
      </dsp:txBody>
      <dsp:txXfrm>
        <a:off x="6589366" y="6399051"/>
        <a:ext cx="1000715" cy="500357"/>
      </dsp:txXfrm>
    </dsp:sp>
    <dsp:sp modelId="{818C6BD5-032F-4E1D-A8F3-6C801413AD7F}">
      <dsp:nvSpPr>
        <dsp:cNvPr id="0" name=""/>
        <dsp:cNvSpPr/>
      </dsp:nvSpPr>
      <dsp:spPr>
        <a:xfrm>
          <a:off x="6589366" y="7109559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Cultural Programs Dept</a:t>
          </a:r>
          <a:endParaRPr lang="en-US" sz="800" kern="1200"/>
        </a:p>
      </dsp:txBody>
      <dsp:txXfrm>
        <a:off x="6589366" y="7109559"/>
        <a:ext cx="1000715" cy="500357"/>
      </dsp:txXfrm>
    </dsp:sp>
    <dsp:sp modelId="{0CB28234-5086-4AA4-A6FB-4F8754B0E461}">
      <dsp:nvSpPr>
        <dsp:cNvPr id="0" name=""/>
        <dsp:cNvSpPr/>
      </dsp:nvSpPr>
      <dsp:spPr>
        <a:xfrm>
          <a:off x="6589366" y="782006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Culture Festivals &amp; Platforms Department</a:t>
          </a:r>
          <a:endParaRPr lang="en-US" sz="800" kern="1200"/>
        </a:p>
      </dsp:txBody>
      <dsp:txXfrm>
        <a:off x="6589366" y="7820067"/>
        <a:ext cx="1000715" cy="500357"/>
      </dsp:txXfrm>
    </dsp:sp>
    <dsp:sp modelId="{BCBF307B-C21C-4DBB-8F2E-752642B3B25D}">
      <dsp:nvSpPr>
        <dsp:cNvPr id="0" name=""/>
        <dsp:cNvSpPr/>
      </dsp:nvSpPr>
      <dsp:spPr>
        <a:xfrm>
          <a:off x="6589366" y="8530574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Education &amp; Outreach</a:t>
          </a:r>
          <a:endParaRPr lang="en-US" sz="800" kern="1200"/>
        </a:p>
      </dsp:txBody>
      <dsp:txXfrm>
        <a:off x="6589366" y="8530574"/>
        <a:ext cx="1000715" cy="500357"/>
      </dsp:txXfrm>
    </dsp:sp>
    <dsp:sp modelId="{BC42652F-25BC-4B62-94AA-70F8190B5ECF}">
      <dsp:nvSpPr>
        <dsp:cNvPr id="0" name=""/>
        <dsp:cNvSpPr/>
      </dsp:nvSpPr>
      <dsp:spPr>
        <a:xfrm>
          <a:off x="7550052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Office of Undersecretary .</a:t>
          </a:r>
          <a:endParaRPr lang="en-US" sz="800" kern="1200"/>
        </a:p>
      </dsp:txBody>
      <dsp:txXfrm>
        <a:off x="7550052" y="714990"/>
        <a:ext cx="1000715" cy="500357"/>
      </dsp:txXfrm>
    </dsp:sp>
    <dsp:sp modelId="{EC0B7BEE-6E47-453A-AC30-360984243525}">
      <dsp:nvSpPr>
        <dsp:cNvPr id="0" name=""/>
        <dsp:cNvSpPr/>
      </dsp:nvSpPr>
      <dsp:spPr>
        <a:xfrm>
          <a:off x="7800231" y="1425497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DCT - Executive Management Office</a:t>
          </a:r>
          <a:endParaRPr lang="en-US" sz="800" kern="1200"/>
        </a:p>
      </dsp:txBody>
      <dsp:txXfrm>
        <a:off x="7800231" y="1425497"/>
        <a:ext cx="1000715" cy="500357"/>
      </dsp:txXfrm>
    </dsp:sp>
    <dsp:sp modelId="{004B763B-2A92-42A3-9583-D26C3EF02BA9}">
      <dsp:nvSpPr>
        <dsp:cNvPr id="0" name=""/>
        <dsp:cNvSpPr/>
      </dsp:nvSpPr>
      <dsp:spPr>
        <a:xfrm>
          <a:off x="7800231" y="2136005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Internal Audit     </a:t>
          </a:r>
          <a:endParaRPr lang="en-US" sz="800" kern="1200"/>
        </a:p>
      </dsp:txBody>
      <dsp:txXfrm>
        <a:off x="7800231" y="2136005"/>
        <a:ext cx="1000715" cy="500357"/>
      </dsp:txXfrm>
    </dsp:sp>
    <dsp:sp modelId="{B9DEDE45-14AD-4563-88CB-7B0D6A070598}">
      <dsp:nvSpPr>
        <dsp:cNvPr id="0" name=""/>
        <dsp:cNvSpPr/>
      </dsp:nvSpPr>
      <dsp:spPr>
        <a:xfrm>
          <a:off x="7800231" y="2846513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Project Management &amp; Engineering </a:t>
          </a:r>
          <a:endParaRPr lang="en-US" sz="800" kern="1200"/>
        </a:p>
      </dsp:txBody>
      <dsp:txXfrm>
        <a:off x="7800231" y="2846513"/>
        <a:ext cx="1000715" cy="500357"/>
      </dsp:txXfrm>
    </dsp:sp>
    <dsp:sp modelId="{5C863727-5B15-4BC2-A730-5BCA6549A943}">
      <dsp:nvSpPr>
        <dsp:cNvPr id="0" name=""/>
        <dsp:cNvSpPr/>
      </dsp:nvSpPr>
      <dsp:spPr>
        <a:xfrm>
          <a:off x="7800231" y="3557021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Tendering &amp; Projects Control </a:t>
          </a:r>
          <a:endParaRPr lang="en-US" sz="800" kern="1200"/>
        </a:p>
      </dsp:txBody>
      <dsp:txXfrm>
        <a:off x="7800231" y="3557021"/>
        <a:ext cx="1000715" cy="500357"/>
      </dsp:txXfrm>
    </dsp:sp>
    <dsp:sp modelId="{A1F956AF-AF0A-48B8-993C-7ECF4FE78AE1}">
      <dsp:nvSpPr>
        <dsp:cNvPr id="0" name=""/>
        <dsp:cNvSpPr/>
      </dsp:nvSpPr>
      <dsp:spPr>
        <a:xfrm>
          <a:off x="7800231" y="4267528"/>
          <a:ext cx="1000715" cy="50035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Legal &amp; Government Affairs  </a:t>
          </a:r>
          <a:endParaRPr lang="en-US" sz="800" kern="1200"/>
        </a:p>
      </dsp:txBody>
      <dsp:txXfrm>
        <a:off x="7800231" y="4267528"/>
        <a:ext cx="1000715" cy="500357"/>
      </dsp:txXfrm>
    </dsp:sp>
    <dsp:sp modelId="{F43972FB-4FF8-4893-AAC5-C004B8EB9F67}">
      <dsp:nvSpPr>
        <dsp:cNvPr id="0" name=""/>
        <dsp:cNvSpPr/>
      </dsp:nvSpPr>
      <dsp:spPr>
        <a:xfrm>
          <a:off x="8760918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kern="1200"/>
            <a:t>ALC</a:t>
          </a:r>
        </a:p>
      </dsp:txBody>
      <dsp:txXfrm>
        <a:off x="8760918" y="714990"/>
        <a:ext cx="1000715" cy="500357"/>
      </dsp:txXfrm>
    </dsp:sp>
    <dsp:sp modelId="{D3725C45-9C0C-474A-B976-BDEEF4151F76}">
      <dsp:nvSpPr>
        <dsp:cNvPr id="0" name=""/>
        <dsp:cNvSpPr/>
      </dsp:nvSpPr>
      <dsp:spPr>
        <a:xfrm>
          <a:off x="9971783" y="714990"/>
          <a:ext cx="1000715" cy="500357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5080" tIns="5080" rIns="5080" bIns="5080" numCol="1" spcCol="1270" anchor="ctr" anchorCtr="0">
          <a:noAutofit/>
        </a:bodyPr>
        <a:lstStyle/>
        <a:p>
          <a:pPr marL="0" lvl="0" indent="0" algn="ctr" defTabSz="3556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800" b="0" i="0" u="none" kern="1200"/>
            <a:t>AD Gaming &amp; Digital </a:t>
          </a:r>
          <a:endParaRPr lang="en-US" sz="800" kern="1200"/>
        </a:p>
      </dsp:txBody>
      <dsp:txXfrm>
        <a:off x="9971783" y="714990"/>
        <a:ext cx="1000715" cy="50035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D68BC4D-2482-4FBF-9A52-44F176EEF186}">
      <dsp:nvSpPr>
        <dsp:cNvPr id="0" name=""/>
        <dsp:cNvSpPr/>
      </dsp:nvSpPr>
      <dsp:spPr>
        <a:xfrm>
          <a:off x="9992313" y="1812386"/>
          <a:ext cx="220310" cy="393418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34186"/>
              </a:lnTo>
              <a:lnTo>
                <a:pt x="220310" y="393418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A3AD101-360F-4C41-B026-255081C7BF83}">
      <dsp:nvSpPr>
        <dsp:cNvPr id="0" name=""/>
        <dsp:cNvSpPr/>
      </dsp:nvSpPr>
      <dsp:spPr>
        <a:xfrm>
          <a:off x="9992313" y="1812386"/>
          <a:ext cx="220310" cy="32445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44541"/>
              </a:lnTo>
              <a:lnTo>
                <a:pt x="220310" y="3244541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7784190-21D1-4F73-9404-980DCC576367}">
      <dsp:nvSpPr>
        <dsp:cNvPr id="0" name=""/>
        <dsp:cNvSpPr/>
      </dsp:nvSpPr>
      <dsp:spPr>
        <a:xfrm>
          <a:off x="9992313" y="1812386"/>
          <a:ext cx="220310" cy="25548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54896"/>
              </a:lnTo>
              <a:lnTo>
                <a:pt x="220310" y="2554896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701833-6097-4DCC-970F-7AE8A1CD0773}">
      <dsp:nvSpPr>
        <dsp:cNvPr id="0" name=""/>
        <dsp:cNvSpPr/>
      </dsp:nvSpPr>
      <dsp:spPr>
        <a:xfrm>
          <a:off x="9992313" y="1812386"/>
          <a:ext cx="220310" cy="186525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65250"/>
              </a:lnTo>
              <a:lnTo>
                <a:pt x="220310" y="186525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68EDAC7-072F-46D8-ABF2-B8FA4E36FA33}">
      <dsp:nvSpPr>
        <dsp:cNvPr id="0" name=""/>
        <dsp:cNvSpPr/>
      </dsp:nvSpPr>
      <dsp:spPr>
        <a:xfrm>
          <a:off x="9992313" y="1812386"/>
          <a:ext cx="220310" cy="117560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75605"/>
              </a:lnTo>
              <a:lnTo>
                <a:pt x="220310" y="1175605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70542E-14E2-46AB-99B3-F18ABE97975E}">
      <dsp:nvSpPr>
        <dsp:cNvPr id="0" name=""/>
        <dsp:cNvSpPr/>
      </dsp:nvSpPr>
      <dsp:spPr>
        <a:xfrm>
          <a:off x="9992313" y="1812386"/>
          <a:ext cx="220310" cy="48596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85960"/>
              </a:lnTo>
              <a:lnTo>
                <a:pt x="220310" y="485960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7DF474-D98D-4BBA-8296-581A75375E2D}">
      <dsp:nvSpPr>
        <dsp:cNvPr id="0" name=""/>
        <dsp:cNvSpPr/>
      </dsp:nvSpPr>
      <dsp:spPr>
        <a:xfrm>
          <a:off x="8571374" y="1147689"/>
          <a:ext cx="2008433" cy="20743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242"/>
              </a:lnTo>
              <a:lnTo>
                <a:pt x="2008433" y="91242"/>
              </a:lnTo>
              <a:lnTo>
                <a:pt x="2008433" y="207432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0DD84D-7F97-4752-BC6A-E12A319281CA}">
      <dsp:nvSpPr>
        <dsp:cNvPr id="0" name=""/>
        <dsp:cNvSpPr/>
      </dsp:nvSpPr>
      <dsp:spPr>
        <a:xfrm>
          <a:off x="8617142" y="1837334"/>
          <a:ext cx="165986" cy="3219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9593"/>
              </a:lnTo>
              <a:lnTo>
                <a:pt x="165986" y="321959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C5B411-D156-4AF3-9A31-07881E460FBE}">
      <dsp:nvSpPr>
        <dsp:cNvPr id="0" name=""/>
        <dsp:cNvSpPr/>
      </dsp:nvSpPr>
      <dsp:spPr>
        <a:xfrm>
          <a:off x="8617142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A91D0E8-AD6D-4E30-9B18-342647167BB1}">
      <dsp:nvSpPr>
        <dsp:cNvPr id="0" name=""/>
        <dsp:cNvSpPr/>
      </dsp:nvSpPr>
      <dsp:spPr>
        <a:xfrm>
          <a:off x="8617142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8C110D0-630C-4EAA-94E4-07C2E705407A}">
      <dsp:nvSpPr>
        <dsp:cNvPr id="0" name=""/>
        <dsp:cNvSpPr/>
      </dsp:nvSpPr>
      <dsp:spPr>
        <a:xfrm>
          <a:off x="8617142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BD97349-31BC-48C5-846F-270F33919490}">
      <dsp:nvSpPr>
        <dsp:cNvPr id="0" name=""/>
        <dsp:cNvSpPr/>
      </dsp:nvSpPr>
      <dsp:spPr>
        <a:xfrm>
          <a:off x="8617142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A8C2E0-C30E-46FD-A07E-7C52DB3B6FA2}">
      <dsp:nvSpPr>
        <dsp:cNvPr id="0" name=""/>
        <dsp:cNvSpPr/>
      </dsp:nvSpPr>
      <dsp:spPr>
        <a:xfrm>
          <a:off x="8571374" y="1147689"/>
          <a:ext cx="488397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488397" y="116190"/>
              </a:lnTo>
              <a:lnTo>
                <a:pt x="488397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0386BF-4EF7-4774-96E4-587DB6B9B081}">
      <dsp:nvSpPr>
        <dsp:cNvPr id="0" name=""/>
        <dsp:cNvSpPr/>
      </dsp:nvSpPr>
      <dsp:spPr>
        <a:xfrm>
          <a:off x="7278186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A38F4F1-A72D-463B-A756-4F1EA2BDC562}">
      <dsp:nvSpPr>
        <dsp:cNvPr id="0" name=""/>
        <dsp:cNvSpPr/>
      </dsp:nvSpPr>
      <dsp:spPr>
        <a:xfrm>
          <a:off x="7278186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D18D46E-88DE-4992-8A5E-416A364F6987}">
      <dsp:nvSpPr>
        <dsp:cNvPr id="0" name=""/>
        <dsp:cNvSpPr/>
      </dsp:nvSpPr>
      <dsp:spPr>
        <a:xfrm>
          <a:off x="7278186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6AADC5-D1E7-4A2D-923F-361736AB23A5}">
      <dsp:nvSpPr>
        <dsp:cNvPr id="0" name=""/>
        <dsp:cNvSpPr/>
      </dsp:nvSpPr>
      <dsp:spPr>
        <a:xfrm>
          <a:off x="7278186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D27F35D-0079-4789-9149-18713D15AEBF}">
      <dsp:nvSpPr>
        <dsp:cNvPr id="0" name=""/>
        <dsp:cNvSpPr/>
      </dsp:nvSpPr>
      <dsp:spPr>
        <a:xfrm>
          <a:off x="7720816" y="1147689"/>
          <a:ext cx="850557" cy="232380"/>
        </a:xfrm>
        <a:custGeom>
          <a:avLst/>
          <a:gdLst/>
          <a:ahLst/>
          <a:cxnLst/>
          <a:rect l="0" t="0" r="0" b="0"/>
          <a:pathLst>
            <a:path>
              <a:moveTo>
                <a:pt x="850557" y="0"/>
              </a:moveTo>
              <a:lnTo>
                <a:pt x="850557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744F35A-358F-4F86-8A56-7E3EB52666EF}">
      <dsp:nvSpPr>
        <dsp:cNvPr id="0" name=""/>
        <dsp:cNvSpPr/>
      </dsp:nvSpPr>
      <dsp:spPr>
        <a:xfrm>
          <a:off x="5939231" y="1837334"/>
          <a:ext cx="165986" cy="3219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9593"/>
              </a:lnTo>
              <a:lnTo>
                <a:pt x="165986" y="321959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78A38C-C478-465C-A2C4-06A1876DFDAA}">
      <dsp:nvSpPr>
        <dsp:cNvPr id="0" name=""/>
        <dsp:cNvSpPr/>
      </dsp:nvSpPr>
      <dsp:spPr>
        <a:xfrm>
          <a:off x="5939231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1DC0A18-B3D5-4C68-AC78-B87FE727FBA6}">
      <dsp:nvSpPr>
        <dsp:cNvPr id="0" name=""/>
        <dsp:cNvSpPr/>
      </dsp:nvSpPr>
      <dsp:spPr>
        <a:xfrm>
          <a:off x="5939231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2DC4258-3990-41B0-8027-B610847D4D14}">
      <dsp:nvSpPr>
        <dsp:cNvPr id="0" name=""/>
        <dsp:cNvSpPr/>
      </dsp:nvSpPr>
      <dsp:spPr>
        <a:xfrm>
          <a:off x="5939231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6EDC1CA-E2CE-4E06-B869-7414CB80862D}">
      <dsp:nvSpPr>
        <dsp:cNvPr id="0" name=""/>
        <dsp:cNvSpPr/>
      </dsp:nvSpPr>
      <dsp:spPr>
        <a:xfrm>
          <a:off x="5939231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5C23A21-526D-4995-80E9-F0D07310475C}">
      <dsp:nvSpPr>
        <dsp:cNvPr id="0" name=""/>
        <dsp:cNvSpPr/>
      </dsp:nvSpPr>
      <dsp:spPr>
        <a:xfrm>
          <a:off x="6381860" y="1147689"/>
          <a:ext cx="2189513" cy="232380"/>
        </a:xfrm>
        <a:custGeom>
          <a:avLst/>
          <a:gdLst/>
          <a:ahLst/>
          <a:cxnLst/>
          <a:rect l="0" t="0" r="0" b="0"/>
          <a:pathLst>
            <a:path>
              <a:moveTo>
                <a:pt x="2189513" y="0"/>
              </a:moveTo>
              <a:lnTo>
                <a:pt x="2189513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1651D26-FC8C-4FB1-B956-E1C38AC9D1CE}">
      <dsp:nvSpPr>
        <dsp:cNvPr id="0" name=""/>
        <dsp:cNvSpPr/>
      </dsp:nvSpPr>
      <dsp:spPr>
        <a:xfrm>
          <a:off x="5802923" y="458044"/>
          <a:ext cx="2768451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2768451" y="116190"/>
              </a:lnTo>
              <a:lnTo>
                <a:pt x="2768451" y="232380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7EE81ED-71AC-4A93-9720-080A9F5AC8F1}">
      <dsp:nvSpPr>
        <dsp:cNvPr id="0" name=""/>
        <dsp:cNvSpPr/>
      </dsp:nvSpPr>
      <dsp:spPr>
        <a:xfrm>
          <a:off x="4600275" y="1837334"/>
          <a:ext cx="165986" cy="274819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748192"/>
              </a:lnTo>
              <a:lnTo>
                <a:pt x="165986" y="274819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BDDFD3-45F6-47F9-BD48-49DFF5F4A9D9}">
      <dsp:nvSpPr>
        <dsp:cNvPr id="0" name=""/>
        <dsp:cNvSpPr/>
      </dsp:nvSpPr>
      <dsp:spPr>
        <a:xfrm>
          <a:off x="4600275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62163E-86C0-4D8C-BB0D-F09FD90504F1}">
      <dsp:nvSpPr>
        <dsp:cNvPr id="0" name=""/>
        <dsp:cNvSpPr/>
      </dsp:nvSpPr>
      <dsp:spPr>
        <a:xfrm>
          <a:off x="4600275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B7D88EF-6DF5-476E-A80A-7A6427BB5766}">
      <dsp:nvSpPr>
        <dsp:cNvPr id="0" name=""/>
        <dsp:cNvSpPr/>
      </dsp:nvSpPr>
      <dsp:spPr>
        <a:xfrm>
          <a:off x="4600275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680F636-4031-4A28-9DA5-B69E39F1976C}">
      <dsp:nvSpPr>
        <dsp:cNvPr id="0" name=""/>
        <dsp:cNvSpPr/>
      </dsp:nvSpPr>
      <dsp:spPr>
        <a:xfrm>
          <a:off x="3034471" y="1147689"/>
          <a:ext cx="2008433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2008433" y="116190"/>
              </a:lnTo>
              <a:lnTo>
                <a:pt x="2008433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D409E8-50FF-4C7B-BC90-7D86CBD5AE53}">
      <dsp:nvSpPr>
        <dsp:cNvPr id="0" name=""/>
        <dsp:cNvSpPr/>
      </dsp:nvSpPr>
      <dsp:spPr>
        <a:xfrm>
          <a:off x="3261319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99EE967-76A6-4726-A2F7-A00CB2A94FE6}">
      <dsp:nvSpPr>
        <dsp:cNvPr id="0" name=""/>
        <dsp:cNvSpPr/>
      </dsp:nvSpPr>
      <dsp:spPr>
        <a:xfrm>
          <a:off x="3261319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9F6C693-ECFD-4066-8F75-2F17B9E8547C}">
      <dsp:nvSpPr>
        <dsp:cNvPr id="0" name=""/>
        <dsp:cNvSpPr/>
      </dsp:nvSpPr>
      <dsp:spPr>
        <a:xfrm>
          <a:off x="3261319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0F2F394-C6B7-4E2B-B578-EC843121D870}">
      <dsp:nvSpPr>
        <dsp:cNvPr id="0" name=""/>
        <dsp:cNvSpPr/>
      </dsp:nvSpPr>
      <dsp:spPr>
        <a:xfrm>
          <a:off x="3034471" y="1147689"/>
          <a:ext cx="669477" cy="2323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6190"/>
              </a:lnTo>
              <a:lnTo>
                <a:pt x="669477" y="116190"/>
              </a:lnTo>
              <a:lnTo>
                <a:pt x="669477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8DB473-CC45-4119-A431-525EE4D7DFFC}">
      <dsp:nvSpPr>
        <dsp:cNvPr id="0" name=""/>
        <dsp:cNvSpPr/>
      </dsp:nvSpPr>
      <dsp:spPr>
        <a:xfrm>
          <a:off x="1922364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CDBD4CF-C1EA-4B1A-88B3-39C90DFFD05D}">
      <dsp:nvSpPr>
        <dsp:cNvPr id="0" name=""/>
        <dsp:cNvSpPr/>
      </dsp:nvSpPr>
      <dsp:spPr>
        <a:xfrm>
          <a:off x="1922364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60C749-D478-42E0-AE61-44CFD142BD07}">
      <dsp:nvSpPr>
        <dsp:cNvPr id="0" name=""/>
        <dsp:cNvSpPr/>
      </dsp:nvSpPr>
      <dsp:spPr>
        <a:xfrm>
          <a:off x="1922364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311F4C-13F6-4F71-8297-F13364EEF3B9}">
      <dsp:nvSpPr>
        <dsp:cNvPr id="0" name=""/>
        <dsp:cNvSpPr/>
      </dsp:nvSpPr>
      <dsp:spPr>
        <a:xfrm>
          <a:off x="1922364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917566D-6505-4236-8F4D-2773908C664B}">
      <dsp:nvSpPr>
        <dsp:cNvPr id="0" name=""/>
        <dsp:cNvSpPr/>
      </dsp:nvSpPr>
      <dsp:spPr>
        <a:xfrm>
          <a:off x="2364994" y="1147689"/>
          <a:ext cx="669477" cy="232380"/>
        </a:xfrm>
        <a:custGeom>
          <a:avLst/>
          <a:gdLst/>
          <a:ahLst/>
          <a:cxnLst/>
          <a:rect l="0" t="0" r="0" b="0"/>
          <a:pathLst>
            <a:path>
              <a:moveTo>
                <a:pt x="669477" y="0"/>
              </a:moveTo>
              <a:lnTo>
                <a:pt x="669477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2EB8D95-A557-4B52-96DC-E79DEE05A683}">
      <dsp:nvSpPr>
        <dsp:cNvPr id="0" name=""/>
        <dsp:cNvSpPr/>
      </dsp:nvSpPr>
      <dsp:spPr>
        <a:xfrm>
          <a:off x="583408" y="1837334"/>
          <a:ext cx="165986" cy="390923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909238"/>
              </a:lnTo>
              <a:lnTo>
                <a:pt x="165986" y="390923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BDA430-3057-4DBA-A47D-8784D72F271B}">
      <dsp:nvSpPr>
        <dsp:cNvPr id="0" name=""/>
        <dsp:cNvSpPr/>
      </dsp:nvSpPr>
      <dsp:spPr>
        <a:xfrm>
          <a:off x="583408" y="1837334"/>
          <a:ext cx="165986" cy="321959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219593"/>
              </a:lnTo>
              <a:lnTo>
                <a:pt x="165986" y="321959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4B7CBFD-50A9-4F45-9591-C11F9568732E}">
      <dsp:nvSpPr>
        <dsp:cNvPr id="0" name=""/>
        <dsp:cNvSpPr/>
      </dsp:nvSpPr>
      <dsp:spPr>
        <a:xfrm>
          <a:off x="583408" y="1837334"/>
          <a:ext cx="165986" cy="25299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529948"/>
              </a:lnTo>
              <a:lnTo>
                <a:pt x="165986" y="252994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EA99C5-E131-407D-A12F-307D4CEFCBD0}">
      <dsp:nvSpPr>
        <dsp:cNvPr id="0" name=""/>
        <dsp:cNvSpPr/>
      </dsp:nvSpPr>
      <dsp:spPr>
        <a:xfrm>
          <a:off x="583408" y="1837334"/>
          <a:ext cx="165986" cy="184030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40303"/>
              </a:lnTo>
              <a:lnTo>
                <a:pt x="165986" y="1840303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A24862-4887-4AC9-82C3-C338E4C43A67}">
      <dsp:nvSpPr>
        <dsp:cNvPr id="0" name=""/>
        <dsp:cNvSpPr/>
      </dsp:nvSpPr>
      <dsp:spPr>
        <a:xfrm>
          <a:off x="583408" y="1837334"/>
          <a:ext cx="165986" cy="115065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50658"/>
              </a:lnTo>
              <a:lnTo>
                <a:pt x="165986" y="1150658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BE1ED46-602B-4EE1-A80E-622BAA5D8B53}">
      <dsp:nvSpPr>
        <dsp:cNvPr id="0" name=""/>
        <dsp:cNvSpPr/>
      </dsp:nvSpPr>
      <dsp:spPr>
        <a:xfrm>
          <a:off x="583408" y="1837334"/>
          <a:ext cx="165986" cy="4610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61012"/>
              </a:lnTo>
              <a:lnTo>
                <a:pt x="165986" y="461012"/>
              </a:lnTo>
            </a:path>
          </a:pathLst>
        </a:custGeom>
        <a:noFill/>
        <a:ln w="127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0277A88-5680-404E-AF09-676F33A75867}">
      <dsp:nvSpPr>
        <dsp:cNvPr id="0" name=""/>
        <dsp:cNvSpPr/>
      </dsp:nvSpPr>
      <dsp:spPr>
        <a:xfrm>
          <a:off x="1026038" y="1147689"/>
          <a:ext cx="2008433" cy="232380"/>
        </a:xfrm>
        <a:custGeom>
          <a:avLst/>
          <a:gdLst/>
          <a:ahLst/>
          <a:cxnLst/>
          <a:rect l="0" t="0" r="0" b="0"/>
          <a:pathLst>
            <a:path>
              <a:moveTo>
                <a:pt x="2008433" y="0"/>
              </a:moveTo>
              <a:lnTo>
                <a:pt x="2008433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48A81E-83D4-4691-AA83-3073914F9C98}">
      <dsp:nvSpPr>
        <dsp:cNvPr id="0" name=""/>
        <dsp:cNvSpPr/>
      </dsp:nvSpPr>
      <dsp:spPr>
        <a:xfrm>
          <a:off x="3034471" y="458044"/>
          <a:ext cx="2768451" cy="232380"/>
        </a:xfrm>
        <a:custGeom>
          <a:avLst/>
          <a:gdLst/>
          <a:ahLst/>
          <a:cxnLst/>
          <a:rect l="0" t="0" r="0" b="0"/>
          <a:pathLst>
            <a:path>
              <a:moveTo>
                <a:pt x="2768451" y="0"/>
              </a:moveTo>
              <a:lnTo>
                <a:pt x="2768451" y="116190"/>
              </a:lnTo>
              <a:lnTo>
                <a:pt x="0" y="116190"/>
              </a:lnTo>
              <a:lnTo>
                <a:pt x="0" y="232380"/>
              </a:lnTo>
            </a:path>
          </a:pathLst>
        </a:custGeom>
        <a:noFill/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34094A9-3C89-49F6-BB8D-6DAC24759C40}">
      <dsp:nvSpPr>
        <dsp:cNvPr id="0" name=""/>
        <dsp:cNvSpPr/>
      </dsp:nvSpPr>
      <dsp:spPr>
        <a:xfrm>
          <a:off x="5249635" y="779"/>
          <a:ext cx="1106574" cy="457264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Aiham</a:t>
          </a:r>
        </a:p>
      </dsp:txBody>
      <dsp:txXfrm>
        <a:off x="5249635" y="779"/>
        <a:ext cx="1106574" cy="457264"/>
      </dsp:txXfrm>
    </dsp:sp>
    <dsp:sp modelId="{D3FAA5C8-1929-4686-98B8-2F11E01310C9}">
      <dsp:nvSpPr>
        <dsp:cNvPr id="0" name=""/>
        <dsp:cNvSpPr/>
      </dsp:nvSpPr>
      <dsp:spPr>
        <a:xfrm>
          <a:off x="2481184" y="690424"/>
          <a:ext cx="1106574" cy="457264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sp:txBody>
      <dsp:txXfrm>
        <a:off x="2481184" y="690424"/>
        <a:ext cx="1106574" cy="457264"/>
      </dsp:txXfrm>
    </dsp:sp>
    <dsp:sp modelId="{6E277A6C-BB40-47AF-92E1-D8B684F30605}">
      <dsp:nvSpPr>
        <dsp:cNvPr id="0" name=""/>
        <dsp:cNvSpPr/>
      </dsp:nvSpPr>
      <dsp:spPr>
        <a:xfrm>
          <a:off x="472751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Yasmeen  Masoud</a:t>
          </a:r>
        </a:p>
      </dsp:txBody>
      <dsp:txXfrm>
        <a:off x="472751" y="1380070"/>
        <a:ext cx="1106574" cy="457264"/>
      </dsp:txXfrm>
    </dsp:sp>
    <dsp:sp modelId="{9EB29434-4795-43E3-9B5B-1DE77CC5F7CB}">
      <dsp:nvSpPr>
        <dsp:cNvPr id="0" name=""/>
        <dsp:cNvSpPr/>
      </dsp:nvSpPr>
      <dsp:spPr>
        <a:xfrm>
          <a:off x="749394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Arabic Language Central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2069715"/>
        <a:ext cx="1106574" cy="457264"/>
      </dsp:txXfrm>
    </dsp:sp>
    <dsp:sp modelId="{3F157303-74D2-481F-AD1C-48C294EC71DA}">
      <dsp:nvSpPr>
        <dsp:cNvPr id="0" name=""/>
        <dsp:cNvSpPr/>
      </dsp:nvSpPr>
      <dsp:spPr>
        <a:xfrm>
          <a:off x="749394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Executive Management Office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2759360"/>
        <a:ext cx="1106574" cy="457264"/>
      </dsp:txXfrm>
    </dsp:sp>
    <dsp:sp modelId="{291B6C9E-C9DF-46F0-AA90-E75BDB4160C0}">
      <dsp:nvSpPr>
        <dsp:cNvPr id="0" name=""/>
        <dsp:cNvSpPr/>
      </dsp:nvSpPr>
      <dsp:spPr>
        <a:xfrm>
          <a:off x="749394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Internal Audit    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3449005"/>
        <a:ext cx="1106574" cy="457264"/>
      </dsp:txXfrm>
    </dsp:sp>
    <dsp:sp modelId="{2755D37C-B7FF-4C97-9798-D8F8D2E510DC}">
      <dsp:nvSpPr>
        <dsp:cNvPr id="0" name=""/>
        <dsp:cNvSpPr/>
      </dsp:nvSpPr>
      <dsp:spPr>
        <a:xfrm>
          <a:off x="749394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Project Management &amp; Engineering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4138650"/>
        <a:ext cx="1106574" cy="457264"/>
      </dsp:txXfrm>
    </dsp:sp>
    <dsp:sp modelId="{C584BC22-2A6E-46A2-BFDE-24AB80BD956F}">
      <dsp:nvSpPr>
        <dsp:cNvPr id="0" name=""/>
        <dsp:cNvSpPr/>
      </dsp:nvSpPr>
      <dsp:spPr>
        <a:xfrm>
          <a:off x="749394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Tendering &amp; Projects Control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4828295"/>
        <a:ext cx="1106574" cy="457264"/>
      </dsp:txXfrm>
    </dsp:sp>
    <dsp:sp modelId="{9DA47146-C909-4CF2-AD7F-A76611B94CB5}">
      <dsp:nvSpPr>
        <dsp:cNvPr id="0" name=""/>
        <dsp:cNvSpPr/>
      </dsp:nvSpPr>
      <dsp:spPr>
        <a:xfrm>
          <a:off x="749394" y="551794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Legal &amp; Government Affairs 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9394" y="5517940"/>
        <a:ext cx="1106574" cy="457264"/>
      </dsp:txXfrm>
    </dsp:sp>
    <dsp:sp modelId="{AB1456F4-F0FF-4329-AD15-9DBB7268995A}">
      <dsp:nvSpPr>
        <dsp:cNvPr id="0" name=""/>
        <dsp:cNvSpPr/>
      </dsp:nvSpPr>
      <dsp:spPr>
        <a:xfrm>
          <a:off x="1811706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Noora Al Bader</a:t>
          </a:r>
        </a:p>
      </dsp:txBody>
      <dsp:txXfrm>
        <a:off x="1811706" y="1380070"/>
        <a:ext cx="1106574" cy="457264"/>
      </dsp:txXfrm>
    </dsp:sp>
    <dsp:sp modelId="{8345D5FE-94D5-4ECA-99E6-2E4449DC005D}">
      <dsp:nvSpPr>
        <dsp:cNvPr id="0" name=""/>
        <dsp:cNvSpPr/>
      </dsp:nvSpPr>
      <dsp:spPr>
        <a:xfrm>
          <a:off x="2088350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Sites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2069715"/>
        <a:ext cx="1106574" cy="457264"/>
      </dsp:txXfrm>
    </dsp:sp>
    <dsp:sp modelId="{25473F50-7207-4EDC-84EF-7A6794CF77A6}">
      <dsp:nvSpPr>
        <dsp:cNvPr id="0" name=""/>
        <dsp:cNvSpPr/>
      </dsp:nvSpPr>
      <dsp:spPr>
        <a:xfrm>
          <a:off x="2088350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Marketing &amp; Communication Dept.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2759360"/>
        <a:ext cx="1106574" cy="457264"/>
      </dsp:txXfrm>
    </dsp:sp>
    <dsp:sp modelId="{3C1E987B-0A7A-4FA0-88E9-F3C910D64BB8}">
      <dsp:nvSpPr>
        <dsp:cNvPr id="0" name=""/>
        <dsp:cNvSpPr/>
      </dsp:nvSpPr>
      <dsp:spPr>
        <a:xfrm>
          <a:off x="2088350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Cultural Programs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3449005"/>
        <a:ext cx="1106574" cy="457264"/>
      </dsp:txXfrm>
    </dsp:sp>
    <dsp:sp modelId="{4B8FAE12-19D4-4C4E-862B-4CCDE031A62C}">
      <dsp:nvSpPr>
        <dsp:cNvPr id="0" name=""/>
        <dsp:cNvSpPr/>
      </dsp:nvSpPr>
      <dsp:spPr>
        <a:xfrm>
          <a:off x="2088350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Festivals &amp; Platforms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2088350" y="4138650"/>
        <a:ext cx="1106574" cy="457264"/>
      </dsp:txXfrm>
    </dsp:sp>
    <dsp:sp modelId="{8F47ADB1-00FA-4A31-B539-EEF38657D0C1}">
      <dsp:nvSpPr>
        <dsp:cNvPr id="0" name=""/>
        <dsp:cNvSpPr/>
      </dsp:nvSpPr>
      <dsp:spPr>
        <a:xfrm>
          <a:off x="3150662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Maha  Al Azizi</a:t>
          </a:r>
        </a:p>
      </dsp:txBody>
      <dsp:txXfrm>
        <a:off x="3150662" y="1380070"/>
        <a:ext cx="1106574" cy="457264"/>
      </dsp:txXfrm>
    </dsp:sp>
    <dsp:sp modelId="{AD0CE90D-3811-4C4A-AA8C-FF8EDFC59D2A}">
      <dsp:nvSpPr>
        <dsp:cNvPr id="0" name=""/>
        <dsp:cNvSpPr/>
      </dsp:nvSpPr>
      <dsp:spPr>
        <a:xfrm>
          <a:off x="3427305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Historical Environment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3427305" y="2069715"/>
        <a:ext cx="1106574" cy="457264"/>
      </dsp:txXfrm>
    </dsp:sp>
    <dsp:sp modelId="{8C29E694-4982-42F4-BF89-D86DD6716899}">
      <dsp:nvSpPr>
        <dsp:cNvPr id="0" name=""/>
        <dsp:cNvSpPr/>
      </dsp:nvSpPr>
      <dsp:spPr>
        <a:xfrm>
          <a:off x="3427305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Intangible Heritage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3427305" y="2759360"/>
        <a:ext cx="1106574" cy="457264"/>
      </dsp:txXfrm>
    </dsp:sp>
    <dsp:sp modelId="{7388EE8E-E9D6-4383-88F5-CC6E1CD6D8D3}">
      <dsp:nvSpPr>
        <dsp:cNvPr id="0" name=""/>
        <dsp:cNvSpPr/>
      </dsp:nvSpPr>
      <dsp:spPr>
        <a:xfrm>
          <a:off x="3427305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Library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3427305" y="3449005"/>
        <a:ext cx="1106574" cy="457264"/>
      </dsp:txXfrm>
    </dsp:sp>
    <dsp:sp modelId="{D08B1808-4605-44EE-AC96-26FD2C104552}">
      <dsp:nvSpPr>
        <dsp:cNvPr id="0" name=""/>
        <dsp:cNvSpPr/>
      </dsp:nvSpPr>
      <dsp:spPr>
        <a:xfrm>
          <a:off x="4489617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Mohannad Al Zubaidi</a:t>
          </a: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dsp:txBody>
      <dsp:txXfrm>
        <a:off x="4489617" y="1380070"/>
        <a:ext cx="1106574" cy="457264"/>
      </dsp:txXfrm>
    </dsp:sp>
    <dsp:sp modelId="{565668DF-700F-4C21-BFE1-61679F60C467}">
      <dsp:nvSpPr>
        <dsp:cNvPr id="0" name=""/>
        <dsp:cNvSpPr/>
      </dsp:nvSpPr>
      <dsp:spPr>
        <a:xfrm>
          <a:off x="4766261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ED Gaming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2069715"/>
        <a:ext cx="1106574" cy="457264"/>
      </dsp:txXfrm>
    </dsp:sp>
    <dsp:sp modelId="{D2CD276E-EB36-4AD9-92D7-191ABB2939D2}">
      <dsp:nvSpPr>
        <dsp:cNvPr id="0" name=""/>
        <dsp:cNvSpPr/>
      </dsp:nvSpPr>
      <dsp:spPr>
        <a:xfrm>
          <a:off x="4766261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(Central)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2759360"/>
        <a:ext cx="1106574" cy="457264"/>
      </dsp:txXfrm>
    </dsp:sp>
    <dsp:sp modelId="{570867D6-0A65-4BEF-BA4D-404495EF0934}">
      <dsp:nvSpPr>
        <dsp:cNvPr id="0" name=""/>
        <dsp:cNvSpPr/>
      </dsp:nvSpPr>
      <dsp:spPr>
        <a:xfrm>
          <a:off x="4766261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Public Art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3449005"/>
        <a:ext cx="1106574" cy="457264"/>
      </dsp:txXfrm>
    </dsp:sp>
    <dsp:sp modelId="{3574D4EE-39C1-4931-80B5-8BF2858B42D7}">
      <dsp:nvSpPr>
        <dsp:cNvPr id="0" name=""/>
        <dsp:cNvSpPr/>
      </dsp:nvSpPr>
      <dsp:spPr>
        <a:xfrm>
          <a:off x="4766261" y="4138650"/>
          <a:ext cx="1106574" cy="893752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Culture Planning &amp; Development Dept.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4766261" y="4138650"/>
        <a:ext cx="1106574" cy="893752"/>
      </dsp:txXfrm>
    </dsp:sp>
    <dsp:sp modelId="{145302FE-192E-4D67-A128-CB82735937E1}">
      <dsp:nvSpPr>
        <dsp:cNvPr id="0" name=""/>
        <dsp:cNvSpPr/>
      </dsp:nvSpPr>
      <dsp:spPr>
        <a:xfrm>
          <a:off x="8018086" y="690424"/>
          <a:ext cx="1106574" cy="457264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Mohamed Elgayar</a:t>
          </a:r>
        </a:p>
      </dsp:txBody>
      <dsp:txXfrm>
        <a:off x="8018086" y="690424"/>
        <a:ext cx="1106574" cy="457264"/>
      </dsp:txXfrm>
    </dsp:sp>
    <dsp:sp modelId="{486ED79C-08D3-4DE9-B07C-278B2AD7B158}">
      <dsp:nvSpPr>
        <dsp:cNvPr id="0" name=""/>
        <dsp:cNvSpPr/>
      </dsp:nvSpPr>
      <dsp:spPr>
        <a:xfrm>
          <a:off x="5828573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Said Drissi </a:t>
          </a:r>
        </a:p>
      </dsp:txBody>
      <dsp:txXfrm>
        <a:off x="5828573" y="1380070"/>
        <a:ext cx="1106574" cy="457264"/>
      </dsp:txXfrm>
    </dsp:sp>
    <dsp:sp modelId="{0B4039FD-8638-46AB-A3DC-C2C60FD0C3B1}">
      <dsp:nvSpPr>
        <dsp:cNvPr id="0" name=""/>
        <dsp:cNvSpPr/>
      </dsp:nvSpPr>
      <dsp:spPr>
        <a:xfrm>
          <a:off x="6105217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Creative and Production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2069715"/>
        <a:ext cx="1106574" cy="457264"/>
      </dsp:txXfrm>
    </dsp:sp>
    <dsp:sp modelId="{5FFA63E0-79A3-483C-917C-3EFE1E1991FD}">
      <dsp:nvSpPr>
        <dsp:cNvPr id="0" name=""/>
        <dsp:cNvSpPr/>
      </dsp:nvSpPr>
      <dsp:spPr>
        <a:xfrm>
          <a:off x="6105217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Communications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2759360"/>
        <a:ext cx="1106574" cy="457264"/>
      </dsp:txXfrm>
    </dsp:sp>
    <dsp:sp modelId="{3F19BEEA-2972-4C60-A481-706E29604547}">
      <dsp:nvSpPr>
        <dsp:cNvPr id="0" name=""/>
        <dsp:cNvSpPr/>
      </dsp:nvSpPr>
      <dsp:spPr>
        <a:xfrm>
          <a:off x="6105217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Planning, Strategy &amp; Operations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3449005"/>
        <a:ext cx="1106574" cy="457264"/>
      </dsp:txXfrm>
    </dsp:sp>
    <dsp:sp modelId="{47C18FCF-589D-4184-A8F7-80147DC4D983}">
      <dsp:nvSpPr>
        <dsp:cNvPr id="0" name=""/>
        <dsp:cNvSpPr/>
      </dsp:nvSpPr>
      <dsp:spPr>
        <a:xfrm>
          <a:off x="6105217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Sector Marketing 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4138650"/>
        <a:ext cx="1106574" cy="457264"/>
      </dsp:txXfrm>
    </dsp:sp>
    <dsp:sp modelId="{A4DA0507-E977-41F1-9DE0-A7C6400DB3E1}">
      <dsp:nvSpPr>
        <dsp:cNvPr id="0" name=""/>
        <dsp:cNvSpPr/>
      </dsp:nvSpPr>
      <dsp:spPr>
        <a:xfrm>
          <a:off x="6105217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International Operations Department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6105217" y="4828295"/>
        <a:ext cx="1106574" cy="457264"/>
      </dsp:txXfrm>
    </dsp:sp>
    <dsp:sp modelId="{55B194FE-4CA4-42CA-926C-EB9B8A79C867}">
      <dsp:nvSpPr>
        <dsp:cNvPr id="0" name=""/>
        <dsp:cNvSpPr/>
      </dsp:nvSpPr>
      <dsp:spPr>
        <a:xfrm>
          <a:off x="7167529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Benny Jose Joseph</a:t>
          </a:r>
        </a:p>
      </dsp:txBody>
      <dsp:txXfrm>
        <a:off x="7167529" y="1380070"/>
        <a:ext cx="1106574" cy="457264"/>
      </dsp:txXfrm>
    </dsp:sp>
    <dsp:sp modelId="{AE95CDFA-675A-43B4-82AC-EA4BBF8C7C64}">
      <dsp:nvSpPr>
        <dsp:cNvPr id="0" name=""/>
        <dsp:cNvSpPr/>
      </dsp:nvSpPr>
      <dsp:spPr>
        <a:xfrm>
          <a:off x="7444172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Strategic Affairs Executive Director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2069715"/>
        <a:ext cx="1106574" cy="457264"/>
      </dsp:txXfrm>
    </dsp:sp>
    <dsp:sp modelId="{EC1E84DB-6112-4937-AD2E-9A25DB5F2CCC}">
      <dsp:nvSpPr>
        <dsp:cNvPr id="0" name=""/>
        <dsp:cNvSpPr/>
      </dsp:nvSpPr>
      <dsp:spPr>
        <a:xfrm>
          <a:off x="7444172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Strategy Planning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2759360"/>
        <a:ext cx="1106574" cy="457264"/>
      </dsp:txXfrm>
    </dsp:sp>
    <dsp:sp modelId="{B9FD17EE-61BE-4D39-9038-AD631FF54516}">
      <dsp:nvSpPr>
        <dsp:cNvPr id="0" name=""/>
        <dsp:cNvSpPr/>
      </dsp:nvSpPr>
      <dsp:spPr>
        <a:xfrm>
          <a:off x="7444172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Intelligence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3449005"/>
        <a:ext cx="1106574" cy="457264"/>
      </dsp:txXfrm>
    </dsp:sp>
    <dsp:sp modelId="{00A75874-4201-47A0-ADA7-0D5A9257D78B}">
      <dsp:nvSpPr>
        <dsp:cNvPr id="0" name=""/>
        <dsp:cNvSpPr/>
      </dsp:nvSpPr>
      <dsp:spPr>
        <a:xfrm>
          <a:off x="7444172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Business Excellence and Continuity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7444172" y="4138650"/>
        <a:ext cx="1106574" cy="457264"/>
      </dsp:txXfrm>
    </dsp:sp>
    <dsp:sp modelId="{BB98FCBB-EE7A-4658-9219-303F93DA6698}">
      <dsp:nvSpPr>
        <dsp:cNvPr id="0" name=""/>
        <dsp:cNvSpPr/>
      </dsp:nvSpPr>
      <dsp:spPr>
        <a:xfrm>
          <a:off x="8506484" y="1380070"/>
          <a:ext cx="110657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Anwar AL Mussaibi</a:t>
          </a:r>
        </a:p>
      </dsp:txBody>
      <dsp:txXfrm>
        <a:off x="8506484" y="1380070"/>
        <a:ext cx="1106574" cy="457264"/>
      </dsp:txXfrm>
    </dsp:sp>
    <dsp:sp modelId="{BB1C01D0-9255-44A9-99BD-61C23D8AF35B}">
      <dsp:nvSpPr>
        <dsp:cNvPr id="0" name=""/>
        <dsp:cNvSpPr/>
      </dsp:nvSpPr>
      <dsp:spPr>
        <a:xfrm>
          <a:off x="8783128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Support Services (Central)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2069715"/>
        <a:ext cx="1106574" cy="457264"/>
      </dsp:txXfrm>
    </dsp:sp>
    <dsp:sp modelId="{BFAE9770-EC7A-4C0C-905D-F311C8D2168D}">
      <dsp:nvSpPr>
        <dsp:cNvPr id="0" name=""/>
        <dsp:cNvSpPr/>
      </dsp:nvSpPr>
      <dsp:spPr>
        <a:xfrm>
          <a:off x="8783128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Finance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2759360"/>
        <a:ext cx="1106574" cy="457264"/>
      </dsp:txXfrm>
    </dsp:sp>
    <dsp:sp modelId="{ECDF546D-D860-4D1A-80A4-B46FDA228AE7}">
      <dsp:nvSpPr>
        <dsp:cNvPr id="0" name=""/>
        <dsp:cNvSpPr/>
      </dsp:nvSpPr>
      <dsp:spPr>
        <a:xfrm>
          <a:off x="8783128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People &amp; Performance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3449005"/>
        <a:ext cx="1106574" cy="457264"/>
      </dsp:txXfrm>
    </dsp:sp>
    <dsp:sp modelId="{112F6855-1E0E-497F-9415-4D7C4472C93D}">
      <dsp:nvSpPr>
        <dsp:cNvPr id="0" name=""/>
        <dsp:cNvSpPr/>
      </dsp:nvSpPr>
      <dsp:spPr>
        <a:xfrm>
          <a:off x="8783128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Facility Management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4138650"/>
        <a:ext cx="1106574" cy="457264"/>
      </dsp:txXfrm>
    </dsp:sp>
    <dsp:sp modelId="{87B20E20-DE6F-41AC-A975-E6ADA0215070}">
      <dsp:nvSpPr>
        <dsp:cNvPr id="0" name=""/>
        <dsp:cNvSpPr/>
      </dsp:nvSpPr>
      <dsp:spPr>
        <a:xfrm>
          <a:off x="8783128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Supply Management Dept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8783128" y="4828295"/>
        <a:ext cx="1106574" cy="457264"/>
      </dsp:txXfrm>
    </dsp:sp>
    <dsp:sp modelId="{98D925AB-C35D-47C1-8106-73685D2AC3DE}">
      <dsp:nvSpPr>
        <dsp:cNvPr id="0" name=""/>
        <dsp:cNvSpPr/>
      </dsp:nvSpPr>
      <dsp:spPr>
        <a:xfrm>
          <a:off x="9845440" y="1355122"/>
          <a:ext cx="1468734" cy="45726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400" b="0" i="0" u="none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Amruddin /Bilal</a:t>
          </a:r>
          <a:endParaRPr lang="en-US" sz="14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9845440" y="1355122"/>
        <a:ext cx="1468734" cy="457264"/>
      </dsp:txXfrm>
    </dsp:sp>
    <dsp:sp modelId="{9FE226CE-1DB4-4543-8B51-C27A1A1F37EA}">
      <dsp:nvSpPr>
        <dsp:cNvPr id="0" name=""/>
        <dsp:cNvSpPr/>
      </dsp:nvSpPr>
      <dsp:spPr>
        <a:xfrm>
          <a:off x="10212624" y="206971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Licensing &amp; Regulatory Compliance</a:t>
          </a:r>
        </a:p>
      </dsp:txBody>
      <dsp:txXfrm>
        <a:off x="10212624" y="2069715"/>
        <a:ext cx="1106574" cy="457264"/>
      </dsp:txXfrm>
    </dsp:sp>
    <dsp:sp modelId="{70AC45AE-CA90-480B-8750-138CD9CC152D}">
      <dsp:nvSpPr>
        <dsp:cNvPr id="0" name=""/>
        <dsp:cNvSpPr/>
      </dsp:nvSpPr>
      <dsp:spPr>
        <a:xfrm>
          <a:off x="10212624" y="275936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Visitors Experience</a:t>
          </a:r>
        </a:p>
      </dsp:txBody>
      <dsp:txXfrm>
        <a:off x="10212624" y="2759360"/>
        <a:ext cx="1106574" cy="457264"/>
      </dsp:txXfrm>
    </dsp:sp>
    <dsp:sp modelId="{102BBEA8-059E-4C24-B3C6-D23C614A429D}">
      <dsp:nvSpPr>
        <dsp:cNvPr id="0" name=""/>
        <dsp:cNvSpPr/>
      </dsp:nvSpPr>
      <dsp:spPr>
        <a:xfrm>
          <a:off x="10212624" y="344900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Conventions &amp; Exhibition Bureau</a:t>
          </a:r>
        </a:p>
      </dsp:txBody>
      <dsp:txXfrm>
        <a:off x="10212624" y="3449005"/>
        <a:ext cx="1106574" cy="457264"/>
      </dsp:txXfrm>
    </dsp:sp>
    <dsp:sp modelId="{7293EB14-24DB-46B6-87E4-1E172FF86BCA}">
      <dsp:nvSpPr>
        <dsp:cNvPr id="0" name=""/>
        <dsp:cNvSpPr/>
      </dsp:nvSpPr>
      <dsp:spPr>
        <a:xfrm>
          <a:off x="10212624" y="413865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Abu Dhabi Events Bureau</a:t>
          </a:r>
        </a:p>
      </dsp:txBody>
      <dsp:txXfrm>
        <a:off x="10212624" y="4138650"/>
        <a:ext cx="1106574" cy="457264"/>
      </dsp:txXfrm>
    </dsp:sp>
    <dsp:sp modelId="{7097C3D2-CB53-4B54-866C-CC4AE4FEAE1D}">
      <dsp:nvSpPr>
        <dsp:cNvPr id="0" name=""/>
        <dsp:cNvSpPr/>
      </dsp:nvSpPr>
      <dsp:spPr>
        <a:xfrm>
          <a:off x="10212624" y="4828295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kern="120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Al Ain &amp; Al Dhafra Regional Development</a:t>
          </a:r>
        </a:p>
      </dsp:txBody>
      <dsp:txXfrm>
        <a:off x="10212624" y="4828295"/>
        <a:ext cx="1106574" cy="457264"/>
      </dsp:txXfrm>
    </dsp:sp>
    <dsp:sp modelId="{FEDC1200-0111-4825-B09F-FC7CB3E8647D}">
      <dsp:nvSpPr>
        <dsp:cNvPr id="0" name=""/>
        <dsp:cNvSpPr/>
      </dsp:nvSpPr>
      <dsp:spPr>
        <a:xfrm>
          <a:off x="10212624" y="5517940"/>
          <a:ext cx="1106574" cy="457264"/>
        </a:xfrm>
        <a:prstGeom prst="rect">
          <a:avLst/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350" tIns="6350" rIns="6350" bIns="635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b="0" i="0" u="none" kern="1200">
              <a:solidFill>
                <a:schemeClr val="bg1"/>
              </a:solidFill>
            </a:rPr>
            <a:t>Tourism Sector Management Office</a:t>
          </a:r>
          <a:endParaRPr lang="en-US" sz="1000" b="0" kern="1200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dsp:txBody>
      <dsp:txXfrm>
        <a:off x="10212624" y="5517940"/>
        <a:ext cx="1106574" cy="45726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hyperlink" Target="https://aderp.dof.abudhabi.ae/OA_HTML/OA.jsp?region=/xxdof/oracle/apps/pa/report/webui/ProFundAvailablePG.region43&amp;bypassPageCounterIncr=Y&amp;isPopupRegion=Y&amp;popupLevel=0&amp;popupId=lovPopUp_CCF1&amp;retainAM=Y&amp;regionCode=CCF1&amp;regionAppId=275&amp;lovBaseItemName=CCF1&amp;fndOAJSPinEmbeddedMode=y&amp;_ti=1568044424&amp;label=Cost%20Center%20From&amp;formName=DefaultFormName&amp;addBreadCrumb=S&amp;baseAppMod=xxdof.oracle.apps.pa.report.server.ProjReportsAM&amp;amUsageMode=1&amp;lovMainCriteria=Description3&amp;Criteria=CCF1.Description3&amp;PassiveCriteria=&amp;retainAM=Y&amp;Selector=N&amp;lovMultiSelectDelimiter=%3B&amp;baseToLovKey=/xxdof/oracle/apps/pa/report/webui/ProFundAvailablePG.CCF1_/xxdof/oracle/apps/pa/report/webui/ProFundAvailablePG.region43&amp;baseCompMode=11.5.10&amp;event=lovFilter&amp;source=CCF1&amp;searchText=&amp;oapc=3&amp;oas=ZCnZixP_Rc6adxQlOz32RA.." TargetMode="External"/><Relationship Id="rId1" Type="http://schemas.openxmlformats.org/officeDocument/2006/relationships/image" Target="../media/image3.gi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19049</xdr:colOff>
      <xdr:row>1</xdr:row>
      <xdr:rowOff>19050</xdr:rowOff>
    </xdr:from>
    <xdr:to>
      <xdr:col>32</xdr:col>
      <xdr:colOff>295274</xdr:colOff>
      <xdr:row>50</xdr:row>
      <xdr:rowOff>47625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6F13910-B332-6F7F-524E-F613B3456B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20</xdr:col>
      <xdr:colOff>209550</xdr:colOff>
      <xdr:row>37</xdr:row>
      <xdr:rowOff>123825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F6E7E22-6891-0169-9B81-AF74E94E76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9525</xdr:rowOff>
        </xdr:from>
        <xdr:to>
          <xdr:col>0</xdr:col>
          <xdr:colOff>228600</xdr:colOff>
          <xdr:row>3</xdr:row>
          <xdr:rowOff>28575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D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9525</xdr:rowOff>
        </xdr:from>
        <xdr:to>
          <xdr:col>0</xdr:col>
          <xdr:colOff>228600</xdr:colOff>
          <xdr:row>4</xdr:row>
          <xdr:rowOff>28575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D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9525</xdr:rowOff>
        </xdr:from>
        <xdr:to>
          <xdr:col>0</xdr:col>
          <xdr:colOff>228600</xdr:colOff>
          <xdr:row>5</xdr:row>
          <xdr:rowOff>28575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D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9525</xdr:rowOff>
        </xdr:from>
        <xdr:to>
          <xdr:col>0</xdr:col>
          <xdr:colOff>228600</xdr:colOff>
          <xdr:row>6</xdr:row>
          <xdr:rowOff>28575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D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9525</xdr:rowOff>
        </xdr:from>
        <xdr:to>
          <xdr:col>0</xdr:col>
          <xdr:colOff>228600</xdr:colOff>
          <xdr:row>7</xdr:row>
          <xdr:rowOff>28575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D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9525</xdr:rowOff>
        </xdr:from>
        <xdr:to>
          <xdr:col>0</xdr:col>
          <xdr:colOff>228600</xdr:colOff>
          <xdr:row>8</xdr:row>
          <xdr:rowOff>28575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D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28575</xdr:rowOff>
        </xdr:from>
        <xdr:to>
          <xdr:col>0</xdr:col>
          <xdr:colOff>228600</xdr:colOff>
          <xdr:row>9</xdr:row>
          <xdr:rowOff>47625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D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28575</xdr:rowOff>
        </xdr:from>
        <xdr:to>
          <xdr:col>0</xdr:col>
          <xdr:colOff>228600</xdr:colOff>
          <xdr:row>10</xdr:row>
          <xdr:rowOff>47625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D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28575</xdr:rowOff>
        </xdr:from>
        <xdr:to>
          <xdr:col>0</xdr:col>
          <xdr:colOff>228600</xdr:colOff>
          <xdr:row>11</xdr:row>
          <xdr:rowOff>47625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D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28575</xdr:rowOff>
        </xdr:from>
        <xdr:to>
          <xdr:col>0</xdr:col>
          <xdr:colOff>228600</xdr:colOff>
          <xdr:row>12</xdr:row>
          <xdr:rowOff>47625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D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28575</xdr:rowOff>
        </xdr:from>
        <xdr:to>
          <xdr:col>0</xdr:col>
          <xdr:colOff>228600</xdr:colOff>
          <xdr:row>13</xdr:row>
          <xdr:rowOff>47625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D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28575</xdr:rowOff>
        </xdr:from>
        <xdr:to>
          <xdr:col>0</xdr:col>
          <xdr:colOff>228600</xdr:colOff>
          <xdr:row>14</xdr:row>
          <xdr:rowOff>47625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D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28575</xdr:rowOff>
        </xdr:from>
        <xdr:to>
          <xdr:col>0</xdr:col>
          <xdr:colOff>228600</xdr:colOff>
          <xdr:row>15</xdr:row>
          <xdr:rowOff>47625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D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28575</xdr:rowOff>
        </xdr:from>
        <xdr:to>
          <xdr:col>0</xdr:col>
          <xdr:colOff>228600</xdr:colOff>
          <xdr:row>16</xdr:row>
          <xdr:rowOff>47625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D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28575</xdr:rowOff>
        </xdr:from>
        <xdr:to>
          <xdr:col>0</xdr:col>
          <xdr:colOff>228600</xdr:colOff>
          <xdr:row>17</xdr:row>
          <xdr:rowOff>47625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D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28575</xdr:rowOff>
        </xdr:from>
        <xdr:to>
          <xdr:col>0</xdr:col>
          <xdr:colOff>228600</xdr:colOff>
          <xdr:row>18</xdr:row>
          <xdr:rowOff>47625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D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28575</xdr:rowOff>
        </xdr:from>
        <xdr:to>
          <xdr:col>0</xdr:col>
          <xdr:colOff>228600</xdr:colOff>
          <xdr:row>19</xdr:row>
          <xdr:rowOff>47625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D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28575</xdr:rowOff>
        </xdr:from>
        <xdr:to>
          <xdr:col>0</xdr:col>
          <xdr:colOff>228600</xdr:colOff>
          <xdr:row>20</xdr:row>
          <xdr:rowOff>47625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D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28575</xdr:rowOff>
        </xdr:from>
        <xdr:to>
          <xdr:col>0</xdr:col>
          <xdr:colOff>228600</xdr:colOff>
          <xdr:row>21</xdr:row>
          <xdr:rowOff>47625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D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28575</xdr:rowOff>
        </xdr:from>
        <xdr:to>
          <xdr:col>0</xdr:col>
          <xdr:colOff>228600</xdr:colOff>
          <xdr:row>22</xdr:row>
          <xdr:rowOff>47625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D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28575</xdr:rowOff>
        </xdr:from>
        <xdr:to>
          <xdr:col>0</xdr:col>
          <xdr:colOff>228600</xdr:colOff>
          <xdr:row>23</xdr:row>
          <xdr:rowOff>47625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D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38100</xdr:rowOff>
        </xdr:from>
        <xdr:to>
          <xdr:col>0</xdr:col>
          <xdr:colOff>228600</xdr:colOff>
          <xdr:row>24</xdr:row>
          <xdr:rowOff>66675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D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24</xdr:row>
          <xdr:rowOff>38100</xdr:rowOff>
        </xdr:from>
        <xdr:to>
          <xdr:col>0</xdr:col>
          <xdr:colOff>228600</xdr:colOff>
          <xdr:row>25</xdr:row>
          <xdr:rowOff>66675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D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38100</xdr:rowOff>
        </xdr:from>
        <xdr:to>
          <xdr:col>0</xdr:col>
          <xdr:colOff>228600</xdr:colOff>
          <xdr:row>26</xdr:row>
          <xdr:rowOff>66675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D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47625</xdr:rowOff>
        </xdr:from>
        <xdr:to>
          <xdr:col>0</xdr:col>
          <xdr:colOff>228600</xdr:colOff>
          <xdr:row>27</xdr:row>
          <xdr:rowOff>66675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D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27</xdr:row>
          <xdr:rowOff>47625</xdr:rowOff>
        </xdr:from>
        <xdr:to>
          <xdr:col>0</xdr:col>
          <xdr:colOff>228600</xdr:colOff>
          <xdr:row>28</xdr:row>
          <xdr:rowOff>66675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D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47625</xdr:rowOff>
        </xdr:from>
        <xdr:to>
          <xdr:col>0</xdr:col>
          <xdr:colOff>228600</xdr:colOff>
          <xdr:row>29</xdr:row>
          <xdr:rowOff>66675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D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47625</xdr:rowOff>
        </xdr:from>
        <xdr:to>
          <xdr:col>0</xdr:col>
          <xdr:colOff>228600</xdr:colOff>
          <xdr:row>30</xdr:row>
          <xdr:rowOff>66675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D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47625</xdr:rowOff>
        </xdr:from>
        <xdr:to>
          <xdr:col>0</xdr:col>
          <xdr:colOff>228600</xdr:colOff>
          <xdr:row>31</xdr:row>
          <xdr:rowOff>66675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D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33</xdr:row>
      <xdr:rowOff>0</xdr:rowOff>
    </xdr:from>
    <xdr:to>
      <xdr:col>0</xdr:col>
      <xdr:colOff>19050</xdr:colOff>
      <xdr:row>33</xdr:row>
      <xdr:rowOff>19050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64850"/>
          <a:ext cx="19050" cy="19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228600</xdr:colOff>
      <xdr:row>1</xdr:row>
      <xdr:rowOff>28575</xdr:rowOff>
    </xdr:to>
    <xdr:pic>
      <xdr:nvPicPr>
        <xdr:cNvPr id="34" name="Picture 3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</xdr:row>
          <xdr:rowOff>9525</xdr:rowOff>
        </xdr:from>
        <xdr:to>
          <xdr:col>6</xdr:col>
          <xdr:colOff>238125</xdr:colOff>
          <xdr:row>3</xdr:row>
          <xdr:rowOff>28575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D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</xdr:row>
      <xdr:rowOff>0</xdr:rowOff>
    </xdr:from>
    <xdr:to>
      <xdr:col>7</xdr:col>
      <xdr:colOff>228600</xdr:colOff>
      <xdr:row>3</xdr:row>
      <xdr:rowOff>28575</xdr:rowOff>
    </xdr:to>
    <xdr:pic>
      <xdr:nvPicPr>
        <xdr:cNvPr id="35" name="Picture 3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00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</xdr:row>
          <xdr:rowOff>9525</xdr:rowOff>
        </xdr:from>
        <xdr:to>
          <xdr:col>6</xdr:col>
          <xdr:colOff>238125</xdr:colOff>
          <xdr:row>4</xdr:row>
          <xdr:rowOff>28575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D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</xdr:row>
      <xdr:rowOff>0</xdr:rowOff>
    </xdr:from>
    <xdr:to>
      <xdr:col>7</xdr:col>
      <xdr:colOff>228600</xdr:colOff>
      <xdr:row>4</xdr:row>
      <xdr:rowOff>28575</xdr:rowOff>
    </xdr:to>
    <xdr:pic>
      <xdr:nvPicPr>
        <xdr:cNvPr id="36" name="Picture 3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19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</xdr:row>
          <xdr:rowOff>9525</xdr:rowOff>
        </xdr:from>
        <xdr:to>
          <xdr:col>6</xdr:col>
          <xdr:colOff>238125</xdr:colOff>
          <xdr:row>5</xdr:row>
          <xdr:rowOff>28575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D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</xdr:row>
      <xdr:rowOff>0</xdr:rowOff>
    </xdr:from>
    <xdr:to>
      <xdr:col>7</xdr:col>
      <xdr:colOff>228600</xdr:colOff>
      <xdr:row>5</xdr:row>
      <xdr:rowOff>28575</xdr:rowOff>
    </xdr:to>
    <xdr:pic>
      <xdr:nvPicPr>
        <xdr:cNvPr id="37" name="Picture 3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38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</xdr:row>
          <xdr:rowOff>9525</xdr:rowOff>
        </xdr:from>
        <xdr:to>
          <xdr:col>6</xdr:col>
          <xdr:colOff>238125</xdr:colOff>
          <xdr:row>6</xdr:row>
          <xdr:rowOff>28575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D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</xdr:row>
      <xdr:rowOff>0</xdr:rowOff>
    </xdr:from>
    <xdr:to>
      <xdr:col>7</xdr:col>
      <xdr:colOff>228600</xdr:colOff>
      <xdr:row>6</xdr:row>
      <xdr:rowOff>28575</xdr:rowOff>
    </xdr:to>
    <xdr:pic>
      <xdr:nvPicPr>
        <xdr:cNvPr id="38" name="Picture 3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57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</xdr:row>
          <xdr:rowOff>9525</xdr:rowOff>
        </xdr:from>
        <xdr:to>
          <xdr:col>6</xdr:col>
          <xdr:colOff>238125</xdr:colOff>
          <xdr:row>7</xdr:row>
          <xdr:rowOff>28575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D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</xdr:row>
      <xdr:rowOff>0</xdr:rowOff>
    </xdr:from>
    <xdr:to>
      <xdr:col>7</xdr:col>
      <xdr:colOff>228600</xdr:colOff>
      <xdr:row>7</xdr:row>
      <xdr:rowOff>28575</xdr:rowOff>
    </xdr:to>
    <xdr:pic>
      <xdr:nvPicPr>
        <xdr:cNvPr id="39" name="Picture 3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676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</xdr:row>
          <xdr:rowOff>9525</xdr:rowOff>
        </xdr:from>
        <xdr:to>
          <xdr:col>6</xdr:col>
          <xdr:colOff>238125</xdr:colOff>
          <xdr:row>8</xdr:row>
          <xdr:rowOff>28575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D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</xdr:row>
      <xdr:rowOff>0</xdr:rowOff>
    </xdr:from>
    <xdr:to>
      <xdr:col>7</xdr:col>
      <xdr:colOff>228600</xdr:colOff>
      <xdr:row>8</xdr:row>
      <xdr:rowOff>28575</xdr:rowOff>
    </xdr:to>
    <xdr:pic>
      <xdr:nvPicPr>
        <xdr:cNvPr id="40" name="Picture 3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14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</xdr:row>
          <xdr:rowOff>28575</xdr:rowOff>
        </xdr:from>
        <xdr:to>
          <xdr:col>6</xdr:col>
          <xdr:colOff>238125</xdr:colOff>
          <xdr:row>9</xdr:row>
          <xdr:rowOff>47625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D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</xdr:row>
      <xdr:rowOff>0</xdr:rowOff>
    </xdr:from>
    <xdr:to>
      <xdr:col>7</xdr:col>
      <xdr:colOff>228600</xdr:colOff>
      <xdr:row>9</xdr:row>
      <xdr:rowOff>28575</xdr:rowOff>
    </xdr:to>
    <xdr:pic>
      <xdr:nvPicPr>
        <xdr:cNvPr id="41" name="Picture 4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9147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</xdr:row>
          <xdr:rowOff>28575</xdr:rowOff>
        </xdr:from>
        <xdr:to>
          <xdr:col>6</xdr:col>
          <xdr:colOff>238125</xdr:colOff>
          <xdr:row>10</xdr:row>
          <xdr:rowOff>47625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D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</xdr:row>
      <xdr:rowOff>0</xdr:rowOff>
    </xdr:from>
    <xdr:to>
      <xdr:col>7</xdr:col>
      <xdr:colOff>228600</xdr:colOff>
      <xdr:row>10</xdr:row>
      <xdr:rowOff>28575</xdr:rowOff>
    </xdr:to>
    <xdr:pic>
      <xdr:nvPicPr>
        <xdr:cNvPr id="42" name="Picture 4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52959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</xdr:row>
          <xdr:rowOff>28575</xdr:rowOff>
        </xdr:from>
        <xdr:to>
          <xdr:col>6</xdr:col>
          <xdr:colOff>238125</xdr:colOff>
          <xdr:row>11</xdr:row>
          <xdr:rowOff>47625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D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</xdr:row>
      <xdr:rowOff>0</xdr:rowOff>
    </xdr:from>
    <xdr:to>
      <xdr:col>7</xdr:col>
      <xdr:colOff>228600</xdr:colOff>
      <xdr:row>11</xdr:row>
      <xdr:rowOff>28575</xdr:rowOff>
    </xdr:to>
    <xdr:pic>
      <xdr:nvPicPr>
        <xdr:cNvPr id="43" name="Picture 4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5246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</xdr:row>
          <xdr:rowOff>28575</xdr:rowOff>
        </xdr:from>
        <xdr:to>
          <xdr:col>6</xdr:col>
          <xdr:colOff>238125</xdr:colOff>
          <xdr:row>12</xdr:row>
          <xdr:rowOff>47625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D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12</xdr:row>
      <xdr:rowOff>0</xdr:rowOff>
    </xdr:from>
    <xdr:to>
      <xdr:col>6</xdr:col>
      <xdr:colOff>228600</xdr:colOff>
      <xdr:row>13</xdr:row>
      <xdr:rowOff>28575</xdr:rowOff>
    </xdr:to>
    <xdr:pic>
      <xdr:nvPicPr>
        <xdr:cNvPr id="45" name="Picture 4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200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13</xdr:row>
          <xdr:rowOff>28575</xdr:rowOff>
        </xdr:from>
        <xdr:to>
          <xdr:col>6</xdr:col>
          <xdr:colOff>238125</xdr:colOff>
          <xdr:row>14</xdr:row>
          <xdr:rowOff>47625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D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13</xdr:row>
      <xdr:rowOff>0</xdr:rowOff>
    </xdr:from>
    <xdr:to>
      <xdr:col>7</xdr:col>
      <xdr:colOff>228600</xdr:colOff>
      <xdr:row>14</xdr:row>
      <xdr:rowOff>28575</xdr:rowOff>
    </xdr:to>
    <xdr:pic>
      <xdr:nvPicPr>
        <xdr:cNvPr id="46" name="Picture 4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971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14</xdr:row>
          <xdr:rowOff>28575</xdr:rowOff>
        </xdr:from>
        <xdr:to>
          <xdr:col>6</xdr:col>
          <xdr:colOff>238125</xdr:colOff>
          <xdr:row>15</xdr:row>
          <xdr:rowOff>47625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D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14</xdr:row>
      <xdr:rowOff>0</xdr:rowOff>
    </xdr:from>
    <xdr:to>
      <xdr:col>7</xdr:col>
      <xdr:colOff>228600</xdr:colOff>
      <xdr:row>15</xdr:row>
      <xdr:rowOff>28575</xdr:rowOff>
    </xdr:to>
    <xdr:pic>
      <xdr:nvPicPr>
        <xdr:cNvPr id="47" name="Picture 4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8957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15</xdr:row>
          <xdr:rowOff>28575</xdr:rowOff>
        </xdr:from>
        <xdr:to>
          <xdr:col>6</xdr:col>
          <xdr:colOff>238125</xdr:colOff>
          <xdr:row>16</xdr:row>
          <xdr:rowOff>47625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D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15</xdr:row>
      <xdr:rowOff>0</xdr:rowOff>
    </xdr:from>
    <xdr:to>
      <xdr:col>7</xdr:col>
      <xdr:colOff>228600</xdr:colOff>
      <xdr:row>16</xdr:row>
      <xdr:rowOff>28575</xdr:rowOff>
    </xdr:to>
    <xdr:pic>
      <xdr:nvPicPr>
        <xdr:cNvPr id="48" name="Picture 4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4514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16</xdr:row>
          <xdr:rowOff>28575</xdr:rowOff>
        </xdr:from>
        <xdr:to>
          <xdr:col>6</xdr:col>
          <xdr:colOff>238125</xdr:colOff>
          <xdr:row>17</xdr:row>
          <xdr:rowOff>47625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D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16</xdr:row>
      <xdr:rowOff>0</xdr:rowOff>
    </xdr:from>
    <xdr:to>
      <xdr:col>7</xdr:col>
      <xdr:colOff>228600</xdr:colOff>
      <xdr:row>17</xdr:row>
      <xdr:rowOff>28575</xdr:rowOff>
    </xdr:to>
    <xdr:pic>
      <xdr:nvPicPr>
        <xdr:cNvPr id="49" name="Picture 4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4981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17</xdr:row>
          <xdr:rowOff>28575</xdr:rowOff>
        </xdr:from>
        <xdr:to>
          <xdr:col>6</xdr:col>
          <xdr:colOff>238125</xdr:colOff>
          <xdr:row>18</xdr:row>
          <xdr:rowOff>47625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D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17</xdr:row>
      <xdr:rowOff>0</xdr:rowOff>
    </xdr:from>
    <xdr:to>
      <xdr:col>7</xdr:col>
      <xdr:colOff>228600</xdr:colOff>
      <xdr:row>18</xdr:row>
      <xdr:rowOff>28575</xdr:rowOff>
    </xdr:to>
    <xdr:pic>
      <xdr:nvPicPr>
        <xdr:cNvPr id="50" name="Picture 4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5905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18</xdr:row>
          <xdr:rowOff>28575</xdr:rowOff>
        </xdr:from>
        <xdr:to>
          <xdr:col>6</xdr:col>
          <xdr:colOff>238125</xdr:colOff>
          <xdr:row>19</xdr:row>
          <xdr:rowOff>47625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D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18</xdr:row>
      <xdr:rowOff>0</xdr:rowOff>
    </xdr:from>
    <xdr:to>
      <xdr:col>7</xdr:col>
      <xdr:colOff>228600</xdr:colOff>
      <xdr:row>19</xdr:row>
      <xdr:rowOff>28575</xdr:rowOff>
    </xdr:to>
    <xdr:pic>
      <xdr:nvPicPr>
        <xdr:cNvPr id="51" name="Picture 5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6770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19</xdr:row>
          <xdr:rowOff>28575</xdr:rowOff>
        </xdr:from>
        <xdr:to>
          <xdr:col>6</xdr:col>
          <xdr:colOff>238125</xdr:colOff>
          <xdr:row>20</xdr:row>
          <xdr:rowOff>47625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D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19</xdr:row>
      <xdr:rowOff>0</xdr:rowOff>
    </xdr:from>
    <xdr:to>
      <xdr:col>7</xdr:col>
      <xdr:colOff>228600</xdr:colOff>
      <xdr:row>20</xdr:row>
      <xdr:rowOff>28575</xdr:rowOff>
    </xdr:to>
    <xdr:pic>
      <xdr:nvPicPr>
        <xdr:cNvPr id="52" name="Picture 5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448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20</xdr:row>
          <xdr:rowOff>28575</xdr:rowOff>
        </xdr:from>
        <xdr:to>
          <xdr:col>6</xdr:col>
          <xdr:colOff>238125</xdr:colOff>
          <xdr:row>21</xdr:row>
          <xdr:rowOff>47625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D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20</xdr:row>
      <xdr:rowOff>0</xdr:rowOff>
    </xdr:from>
    <xdr:to>
      <xdr:col>7</xdr:col>
      <xdr:colOff>228600</xdr:colOff>
      <xdr:row>21</xdr:row>
      <xdr:rowOff>28575</xdr:rowOff>
    </xdr:to>
    <xdr:pic>
      <xdr:nvPicPr>
        <xdr:cNvPr id="53" name="Picture 5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067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21</xdr:row>
          <xdr:rowOff>28575</xdr:rowOff>
        </xdr:from>
        <xdr:to>
          <xdr:col>6</xdr:col>
          <xdr:colOff>238125</xdr:colOff>
          <xdr:row>22</xdr:row>
          <xdr:rowOff>47625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D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22</xdr:row>
      <xdr:rowOff>0</xdr:rowOff>
    </xdr:from>
    <xdr:to>
      <xdr:col>6</xdr:col>
      <xdr:colOff>228600</xdr:colOff>
      <xdr:row>23</xdr:row>
      <xdr:rowOff>28575</xdr:rowOff>
    </xdr:to>
    <xdr:pic>
      <xdr:nvPicPr>
        <xdr:cNvPr id="55" name="Picture 5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4200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23</xdr:row>
          <xdr:rowOff>38100</xdr:rowOff>
        </xdr:from>
        <xdr:to>
          <xdr:col>6</xdr:col>
          <xdr:colOff>238125</xdr:colOff>
          <xdr:row>24</xdr:row>
          <xdr:rowOff>66675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D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23</xdr:row>
      <xdr:rowOff>0</xdr:rowOff>
    </xdr:from>
    <xdr:to>
      <xdr:col>7</xdr:col>
      <xdr:colOff>228600</xdr:colOff>
      <xdr:row>24</xdr:row>
      <xdr:rowOff>28575</xdr:rowOff>
    </xdr:to>
    <xdr:pic>
      <xdr:nvPicPr>
        <xdr:cNvPr id="56" name="Picture 5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527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24</xdr:row>
          <xdr:rowOff>38100</xdr:rowOff>
        </xdr:from>
        <xdr:to>
          <xdr:col>6</xdr:col>
          <xdr:colOff>238125</xdr:colOff>
          <xdr:row>25</xdr:row>
          <xdr:rowOff>66675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D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24</xdr:row>
      <xdr:rowOff>0</xdr:rowOff>
    </xdr:from>
    <xdr:to>
      <xdr:col>7</xdr:col>
      <xdr:colOff>228600</xdr:colOff>
      <xdr:row>25</xdr:row>
      <xdr:rowOff>28575</xdr:rowOff>
    </xdr:to>
    <xdr:pic>
      <xdr:nvPicPr>
        <xdr:cNvPr id="57" name="Picture 5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2007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25</xdr:row>
          <xdr:rowOff>38100</xdr:rowOff>
        </xdr:from>
        <xdr:to>
          <xdr:col>6</xdr:col>
          <xdr:colOff>238125</xdr:colOff>
          <xdr:row>26</xdr:row>
          <xdr:rowOff>66675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D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25</xdr:row>
      <xdr:rowOff>0</xdr:rowOff>
    </xdr:from>
    <xdr:to>
      <xdr:col>7</xdr:col>
      <xdr:colOff>228600</xdr:colOff>
      <xdr:row>26</xdr:row>
      <xdr:rowOff>28575</xdr:rowOff>
    </xdr:to>
    <xdr:pic>
      <xdr:nvPicPr>
        <xdr:cNvPr id="58" name="Picture 5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2771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26</xdr:row>
          <xdr:rowOff>47625</xdr:rowOff>
        </xdr:from>
        <xdr:to>
          <xdr:col>6</xdr:col>
          <xdr:colOff>238125</xdr:colOff>
          <xdr:row>27</xdr:row>
          <xdr:rowOff>66675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D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26</xdr:row>
      <xdr:rowOff>0</xdr:rowOff>
    </xdr:from>
    <xdr:to>
      <xdr:col>7</xdr:col>
      <xdr:colOff>228600</xdr:colOff>
      <xdr:row>27</xdr:row>
      <xdr:rowOff>28575</xdr:rowOff>
    </xdr:to>
    <xdr:pic>
      <xdr:nvPicPr>
        <xdr:cNvPr id="59" name="Picture 5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896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27</xdr:row>
          <xdr:rowOff>47625</xdr:rowOff>
        </xdr:from>
        <xdr:to>
          <xdr:col>6</xdr:col>
          <xdr:colOff>238125</xdr:colOff>
          <xdr:row>28</xdr:row>
          <xdr:rowOff>66675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D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27</xdr:row>
      <xdr:rowOff>0</xdr:rowOff>
    </xdr:from>
    <xdr:to>
      <xdr:col>7</xdr:col>
      <xdr:colOff>228600</xdr:colOff>
      <xdr:row>28</xdr:row>
      <xdr:rowOff>28575</xdr:rowOff>
    </xdr:to>
    <xdr:pic>
      <xdr:nvPicPr>
        <xdr:cNvPr id="60" name="Picture 5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820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28</xdr:row>
          <xdr:rowOff>47625</xdr:rowOff>
        </xdr:from>
        <xdr:to>
          <xdr:col>6</xdr:col>
          <xdr:colOff>238125</xdr:colOff>
          <xdr:row>29</xdr:row>
          <xdr:rowOff>66675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D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28</xdr:row>
      <xdr:rowOff>0</xdr:rowOff>
    </xdr:from>
    <xdr:to>
      <xdr:col>7</xdr:col>
      <xdr:colOff>228600</xdr:colOff>
      <xdr:row>29</xdr:row>
      <xdr:rowOff>28575</xdr:rowOff>
    </xdr:to>
    <xdr:pic>
      <xdr:nvPicPr>
        <xdr:cNvPr id="61" name="Picture 6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439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29</xdr:row>
          <xdr:rowOff>47625</xdr:rowOff>
        </xdr:from>
        <xdr:to>
          <xdr:col>6</xdr:col>
          <xdr:colOff>238125</xdr:colOff>
          <xdr:row>30</xdr:row>
          <xdr:rowOff>66675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D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29</xdr:row>
      <xdr:rowOff>0</xdr:rowOff>
    </xdr:from>
    <xdr:to>
      <xdr:col>7</xdr:col>
      <xdr:colOff>228600</xdr:colOff>
      <xdr:row>30</xdr:row>
      <xdr:rowOff>28575</xdr:rowOff>
    </xdr:to>
    <xdr:pic>
      <xdr:nvPicPr>
        <xdr:cNvPr id="62" name="Picture 6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21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30</xdr:row>
          <xdr:rowOff>47625</xdr:rowOff>
        </xdr:from>
        <xdr:to>
          <xdr:col>6</xdr:col>
          <xdr:colOff>238125</xdr:colOff>
          <xdr:row>31</xdr:row>
          <xdr:rowOff>66675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D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30</xdr:row>
      <xdr:rowOff>0</xdr:rowOff>
    </xdr:from>
    <xdr:to>
      <xdr:col>7</xdr:col>
      <xdr:colOff>228600</xdr:colOff>
      <xdr:row>31</xdr:row>
      <xdr:rowOff>28575</xdr:rowOff>
    </xdr:to>
    <xdr:pic>
      <xdr:nvPicPr>
        <xdr:cNvPr id="63" name="Picture 6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829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228600</xdr:colOff>
      <xdr:row>32</xdr:row>
      <xdr:rowOff>28575</xdr:rowOff>
    </xdr:to>
    <xdr:pic>
      <xdr:nvPicPr>
        <xdr:cNvPr id="1024" name="Picture 102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6000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32</xdr:row>
          <xdr:rowOff>66675</xdr:rowOff>
        </xdr:from>
        <xdr:to>
          <xdr:col>6</xdr:col>
          <xdr:colOff>238125</xdr:colOff>
          <xdr:row>33</xdr:row>
          <xdr:rowOff>85725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D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32</xdr:row>
      <xdr:rowOff>0</xdr:rowOff>
    </xdr:from>
    <xdr:to>
      <xdr:col>7</xdr:col>
      <xdr:colOff>228600</xdr:colOff>
      <xdr:row>33</xdr:row>
      <xdr:rowOff>28575</xdr:rowOff>
    </xdr:to>
    <xdr:pic>
      <xdr:nvPicPr>
        <xdr:cNvPr id="1025" name="Picture 102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6772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33</xdr:row>
          <xdr:rowOff>66675</xdr:rowOff>
        </xdr:from>
        <xdr:to>
          <xdr:col>6</xdr:col>
          <xdr:colOff>238125</xdr:colOff>
          <xdr:row>34</xdr:row>
          <xdr:rowOff>85725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D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33</xdr:row>
      <xdr:rowOff>0</xdr:rowOff>
    </xdr:from>
    <xdr:to>
      <xdr:col>7</xdr:col>
      <xdr:colOff>228600</xdr:colOff>
      <xdr:row>34</xdr:row>
      <xdr:rowOff>28575</xdr:rowOff>
    </xdr:to>
    <xdr:pic>
      <xdr:nvPicPr>
        <xdr:cNvPr id="1027" name="Picture 102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239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34</xdr:row>
          <xdr:rowOff>66675</xdr:rowOff>
        </xdr:from>
        <xdr:to>
          <xdr:col>6</xdr:col>
          <xdr:colOff>238125</xdr:colOff>
          <xdr:row>35</xdr:row>
          <xdr:rowOff>85725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D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34</xdr:row>
      <xdr:rowOff>0</xdr:rowOff>
    </xdr:from>
    <xdr:to>
      <xdr:col>7</xdr:col>
      <xdr:colOff>228600</xdr:colOff>
      <xdr:row>35</xdr:row>
      <xdr:rowOff>28575</xdr:rowOff>
    </xdr:to>
    <xdr:pic>
      <xdr:nvPicPr>
        <xdr:cNvPr id="1029" name="Picture 102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78581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35</xdr:row>
          <xdr:rowOff>66675</xdr:rowOff>
        </xdr:from>
        <xdr:to>
          <xdr:col>6</xdr:col>
          <xdr:colOff>238125</xdr:colOff>
          <xdr:row>36</xdr:row>
          <xdr:rowOff>85725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D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35</xdr:row>
      <xdr:rowOff>0</xdr:rowOff>
    </xdr:from>
    <xdr:to>
      <xdr:col>7</xdr:col>
      <xdr:colOff>228600</xdr:colOff>
      <xdr:row>36</xdr:row>
      <xdr:rowOff>28575</xdr:rowOff>
    </xdr:to>
    <xdr:pic>
      <xdr:nvPicPr>
        <xdr:cNvPr id="1031" name="Picture 103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7820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36</xdr:row>
          <xdr:rowOff>66675</xdr:rowOff>
        </xdr:from>
        <xdr:to>
          <xdr:col>6</xdr:col>
          <xdr:colOff>238125</xdr:colOff>
          <xdr:row>37</xdr:row>
          <xdr:rowOff>85725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D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36</xdr:row>
      <xdr:rowOff>0</xdr:rowOff>
    </xdr:from>
    <xdr:to>
      <xdr:col>7</xdr:col>
      <xdr:colOff>228600</xdr:colOff>
      <xdr:row>37</xdr:row>
      <xdr:rowOff>28575</xdr:rowOff>
    </xdr:to>
    <xdr:pic>
      <xdr:nvPicPr>
        <xdr:cNvPr id="1033" name="Picture 103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4011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37</xdr:row>
          <xdr:rowOff>66675</xdr:rowOff>
        </xdr:from>
        <xdr:to>
          <xdr:col>6</xdr:col>
          <xdr:colOff>238125</xdr:colOff>
          <xdr:row>38</xdr:row>
          <xdr:rowOff>85725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D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37</xdr:row>
      <xdr:rowOff>0</xdr:rowOff>
    </xdr:from>
    <xdr:to>
      <xdr:col>7</xdr:col>
      <xdr:colOff>228600</xdr:colOff>
      <xdr:row>38</xdr:row>
      <xdr:rowOff>28575</xdr:rowOff>
    </xdr:to>
    <xdr:pic>
      <xdr:nvPicPr>
        <xdr:cNvPr id="1035" name="Picture 103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38</xdr:row>
          <xdr:rowOff>66675</xdr:rowOff>
        </xdr:from>
        <xdr:to>
          <xdr:col>6</xdr:col>
          <xdr:colOff>238125</xdr:colOff>
          <xdr:row>39</xdr:row>
          <xdr:rowOff>85725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D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38</xdr:row>
      <xdr:rowOff>0</xdr:rowOff>
    </xdr:from>
    <xdr:to>
      <xdr:col>7</xdr:col>
      <xdr:colOff>228600</xdr:colOff>
      <xdr:row>39</xdr:row>
      <xdr:rowOff>28575</xdr:rowOff>
    </xdr:to>
    <xdr:pic>
      <xdr:nvPicPr>
        <xdr:cNvPr id="1037" name="Picture 103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401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39</xdr:row>
          <xdr:rowOff>66675</xdr:rowOff>
        </xdr:from>
        <xdr:to>
          <xdr:col>6</xdr:col>
          <xdr:colOff>238125</xdr:colOff>
          <xdr:row>40</xdr:row>
          <xdr:rowOff>85725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D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39</xdr:row>
      <xdr:rowOff>0</xdr:rowOff>
    </xdr:from>
    <xdr:to>
      <xdr:col>7</xdr:col>
      <xdr:colOff>228600</xdr:colOff>
      <xdr:row>40</xdr:row>
      <xdr:rowOff>28575</xdr:rowOff>
    </xdr:to>
    <xdr:pic>
      <xdr:nvPicPr>
        <xdr:cNvPr id="1039" name="Picture 103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020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40</xdr:row>
          <xdr:rowOff>66675</xdr:rowOff>
        </xdr:from>
        <xdr:to>
          <xdr:col>6</xdr:col>
          <xdr:colOff>238125</xdr:colOff>
          <xdr:row>41</xdr:row>
          <xdr:rowOff>85725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D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41</xdr:row>
      <xdr:rowOff>0</xdr:rowOff>
    </xdr:from>
    <xdr:to>
      <xdr:col>6</xdr:col>
      <xdr:colOff>228600</xdr:colOff>
      <xdr:row>42</xdr:row>
      <xdr:rowOff>28575</xdr:rowOff>
    </xdr:to>
    <xdr:pic>
      <xdr:nvPicPr>
        <xdr:cNvPr id="1043" name="Picture 104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8001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42</xdr:row>
          <xdr:rowOff>66675</xdr:rowOff>
        </xdr:from>
        <xdr:to>
          <xdr:col>6</xdr:col>
          <xdr:colOff>238125</xdr:colOff>
          <xdr:row>43</xdr:row>
          <xdr:rowOff>85725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D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42</xdr:row>
      <xdr:rowOff>0</xdr:rowOff>
    </xdr:from>
    <xdr:to>
      <xdr:col>7</xdr:col>
      <xdr:colOff>228600</xdr:colOff>
      <xdr:row>43</xdr:row>
      <xdr:rowOff>28575</xdr:rowOff>
    </xdr:to>
    <xdr:pic>
      <xdr:nvPicPr>
        <xdr:cNvPr id="1045" name="Picture 104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84677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43</xdr:row>
          <xdr:rowOff>66675</xdr:rowOff>
        </xdr:from>
        <xdr:to>
          <xdr:col>6</xdr:col>
          <xdr:colOff>238125</xdr:colOff>
          <xdr:row>44</xdr:row>
          <xdr:rowOff>85725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D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43</xdr:row>
      <xdr:rowOff>0</xdr:rowOff>
    </xdr:from>
    <xdr:to>
      <xdr:col>7</xdr:col>
      <xdr:colOff>228600</xdr:colOff>
      <xdr:row>44</xdr:row>
      <xdr:rowOff>28575</xdr:rowOff>
    </xdr:to>
    <xdr:pic>
      <xdr:nvPicPr>
        <xdr:cNvPr id="1047" name="Picture 104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086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44</xdr:row>
          <xdr:rowOff>66675</xdr:rowOff>
        </xdr:from>
        <xdr:to>
          <xdr:col>6</xdr:col>
          <xdr:colOff>238125</xdr:colOff>
          <xdr:row>45</xdr:row>
          <xdr:rowOff>85725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D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44</xdr:row>
      <xdr:rowOff>0</xdr:rowOff>
    </xdr:from>
    <xdr:to>
      <xdr:col>7</xdr:col>
      <xdr:colOff>228600</xdr:colOff>
      <xdr:row>45</xdr:row>
      <xdr:rowOff>28575</xdr:rowOff>
    </xdr:to>
    <xdr:pic>
      <xdr:nvPicPr>
        <xdr:cNvPr id="1049" name="Picture 104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9553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45</xdr:row>
          <xdr:rowOff>66675</xdr:rowOff>
        </xdr:from>
        <xdr:to>
          <xdr:col>6</xdr:col>
          <xdr:colOff>238125</xdr:colOff>
          <xdr:row>46</xdr:row>
          <xdr:rowOff>85725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D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45</xdr:row>
      <xdr:rowOff>0</xdr:rowOff>
    </xdr:from>
    <xdr:to>
      <xdr:col>7</xdr:col>
      <xdr:colOff>228600</xdr:colOff>
      <xdr:row>46</xdr:row>
      <xdr:rowOff>28575</xdr:rowOff>
    </xdr:to>
    <xdr:pic>
      <xdr:nvPicPr>
        <xdr:cNvPr id="1051" name="Picture 105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477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46</xdr:row>
          <xdr:rowOff>66675</xdr:rowOff>
        </xdr:from>
        <xdr:to>
          <xdr:col>6</xdr:col>
          <xdr:colOff>238125</xdr:colOff>
          <xdr:row>47</xdr:row>
          <xdr:rowOff>85725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D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46</xdr:row>
      <xdr:rowOff>0</xdr:rowOff>
    </xdr:from>
    <xdr:to>
      <xdr:col>7</xdr:col>
      <xdr:colOff>228600</xdr:colOff>
      <xdr:row>47</xdr:row>
      <xdr:rowOff>28575</xdr:rowOff>
    </xdr:to>
    <xdr:pic>
      <xdr:nvPicPr>
        <xdr:cNvPr id="1053" name="Picture 105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7918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47</xdr:row>
          <xdr:rowOff>76200</xdr:rowOff>
        </xdr:from>
        <xdr:to>
          <xdr:col>6</xdr:col>
          <xdr:colOff>238125</xdr:colOff>
          <xdr:row>48</xdr:row>
          <xdr:rowOff>104775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D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47</xdr:row>
      <xdr:rowOff>0</xdr:rowOff>
    </xdr:from>
    <xdr:to>
      <xdr:col>7</xdr:col>
      <xdr:colOff>228600</xdr:colOff>
      <xdr:row>48</xdr:row>
      <xdr:rowOff>28575</xdr:rowOff>
    </xdr:to>
    <xdr:pic>
      <xdr:nvPicPr>
        <xdr:cNvPr id="1055" name="Picture 105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258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48</xdr:row>
          <xdr:rowOff>76200</xdr:rowOff>
        </xdr:from>
        <xdr:to>
          <xdr:col>6</xdr:col>
          <xdr:colOff>238125</xdr:colOff>
          <xdr:row>49</xdr:row>
          <xdr:rowOff>104775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D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48</xdr:row>
      <xdr:rowOff>0</xdr:rowOff>
    </xdr:from>
    <xdr:to>
      <xdr:col>7</xdr:col>
      <xdr:colOff>228600</xdr:colOff>
      <xdr:row>49</xdr:row>
      <xdr:rowOff>28575</xdr:rowOff>
    </xdr:to>
    <xdr:pic>
      <xdr:nvPicPr>
        <xdr:cNvPr id="1057" name="Picture 105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877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49</xdr:row>
          <xdr:rowOff>76200</xdr:rowOff>
        </xdr:from>
        <xdr:to>
          <xdr:col>6</xdr:col>
          <xdr:colOff>238125</xdr:colOff>
          <xdr:row>50</xdr:row>
          <xdr:rowOff>104775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D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49</xdr:row>
      <xdr:rowOff>0</xdr:rowOff>
    </xdr:from>
    <xdr:to>
      <xdr:col>7</xdr:col>
      <xdr:colOff>228600</xdr:colOff>
      <xdr:row>50</xdr:row>
      <xdr:rowOff>28575</xdr:rowOff>
    </xdr:to>
    <xdr:pic>
      <xdr:nvPicPr>
        <xdr:cNvPr id="1059" name="Picture 105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344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50</xdr:row>
          <xdr:rowOff>85725</xdr:rowOff>
        </xdr:from>
        <xdr:to>
          <xdr:col>6</xdr:col>
          <xdr:colOff>238125</xdr:colOff>
          <xdr:row>51</xdr:row>
          <xdr:rowOff>104775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D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51</xdr:row>
      <xdr:rowOff>0</xdr:rowOff>
    </xdr:from>
    <xdr:to>
      <xdr:col>6</xdr:col>
      <xdr:colOff>228600</xdr:colOff>
      <xdr:row>52</xdr:row>
      <xdr:rowOff>28575</xdr:rowOff>
    </xdr:to>
    <xdr:pic>
      <xdr:nvPicPr>
        <xdr:cNvPr id="1063" name="Picture 106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0001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52</xdr:row>
          <xdr:rowOff>85725</xdr:rowOff>
        </xdr:from>
        <xdr:to>
          <xdr:col>6</xdr:col>
          <xdr:colOff>238125</xdr:colOff>
          <xdr:row>53</xdr:row>
          <xdr:rowOff>104775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D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52</xdr:row>
      <xdr:rowOff>0</xdr:rowOff>
    </xdr:from>
    <xdr:to>
      <xdr:col>7</xdr:col>
      <xdr:colOff>228600</xdr:colOff>
      <xdr:row>53</xdr:row>
      <xdr:rowOff>28575</xdr:rowOff>
    </xdr:to>
    <xdr:pic>
      <xdr:nvPicPr>
        <xdr:cNvPr id="1065" name="Picture 106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0620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53</xdr:row>
          <xdr:rowOff>85725</xdr:rowOff>
        </xdr:from>
        <xdr:to>
          <xdr:col>6</xdr:col>
          <xdr:colOff>238125</xdr:colOff>
          <xdr:row>54</xdr:row>
          <xdr:rowOff>104775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D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53</xdr:row>
      <xdr:rowOff>0</xdr:rowOff>
    </xdr:from>
    <xdr:to>
      <xdr:col>7</xdr:col>
      <xdr:colOff>228600</xdr:colOff>
      <xdr:row>54</xdr:row>
      <xdr:rowOff>28575</xdr:rowOff>
    </xdr:to>
    <xdr:pic>
      <xdr:nvPicPr>
        <xdr:cNvPr id="1067" name="Picture 106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1239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54</xdr:row>
          <xdr:rowOff>85725</xdr:rowOff>
        </xdr:from>
        <xdr:to>
          <xdr:col>6</xdr:col>
          <xdr:colOff>238125</xdr:colOff>
          <xdr:row>55</xdr:row>
          <xdr:rowOff>104775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D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54</xdr:row>
      <xdr:rowOff>0</xdr:rowOff>
    </xdr:from>
    <xdr:to>
      <xdr:col>7</xdr:col>
      <xdr:colOff>228600</xdr:colOff>
      <xdr:row>55</xdr:row>
      <xdr:rowOff>28575</xdr:rowOff>
    </xdr:to>
    <xdr:pic>
      <xdr:nvPicPr>
        <xdr:cNvPr id="1069" name="Picture 106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163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55</xdr:row>
          <xdr:rowOff>85725</xdr:rowOff>
        </xdr:from>
        <xdr:to>
          <xdr:col>6</xdr:col>
          <xdr:colOff>238125</xdr:colOff>
          <xdr:row>56</xdr:row>
          <xdr:rowOff>104775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D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55</xdr:row>
      <xdr:rowOff>0</xdr:rowOff>
    </xdr:from>
    <xdr:to>
      <xdr:col>7</xdr:col>
      <xdr:colOff>228600</xdr:colOff>
      <xdr:row>56</xdr:row>
      <xdr:rowOff>28575</xdr:rowOff>
    </xdr:to>
    <xdr:pic>
      <xdr:nvPicPr>
        <xdr:cNvPr id="1071" name="Picture 107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934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56</xdr:row>
          <xdr:rowOff>104775</xdr:rowOff>
        </xdr:from>
        <xdr:to>
          <xdr:col>6</xdr:col>
          <xdr:colOff>238125</xdr:colOff>
          <xdr:row>57</xdr:row>
          <xdr:rowOff>123825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D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56</xdr:row>
      <xdr:rowOff>0</xdr:rowOff>
    </xdr:from>
    <xdr:to>
      <xdr:col>7</xdr:col>
      <xdr:colOff>228600</xdr:colOff>
      <xdr:row>57</xdr:row>
      <xdr:rowOff>28575</xdr:rowOff>
    </xdr:to>
    <xdr:pic>
      <xdr:nvPicPr>
        <xdr:cNvPr id="1073" name="Picture 107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3401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57</xdr:row>
          <xdr:rowOff>104775</xdr:rowOff>
        </xdr:from>
        <xdr:to>
          <xdr:col>6</xdr:col>
          <xdr:colOff>238125</xdr:colOff>
          <xdr:row>58</xdr:row>
          <xdr:rowOff>123825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D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57</xdr:row>
      <xdr:rowOff>0</xdr:rowOff>
    </xdr:from>
    <xdr:to>
      <xdr:col>7</xdr:col>
      <xdr:colOff>228600</xdr:colOff>
      <xdr:row>58</xdr:row>
      <xdr:rowOff>28575</xdr:rowOff>
    </xdr:to>
    <xdr:pic>
      <xdr:nvPicPr>
        <xdr:cNvPr id="1075" name="Picture 107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020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58</xdr:row>
          <xdr:rowOff>104775</xdr:rowOff>
        </xdr:from>
        <xdr:to>
          <xdr:col>6</xdr:col>
          <xdr:colOff>238125</xdr:colOff>
          <xdr:row>59</xdr:row>
          <xdr:rowOff>123825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D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58</xdr:row>
      <xdr:rowOff>0</xdr:rowOff>
    </xdr:from>
    <xdr:to>
      <xdr:col>7</xdr:col>
      <xdr:colOff>228600</xdr:colOff>
      <xdr:row>59</xdr:row>
      <xdr:rowOff>28575</xdr:rowOff>
    </xdr:to>
    <xdr:pic>
      <xdr:nvPicPr>
        <xdr:cNvPr id="1077" name="Picture 107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6399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59</xdr:row>
          <xdr:rowOff>104775</xdr:rowOff>
        </xdr:from>
        <xdr:to>
          <xdr:col>6</xdr:col>
          <xdr:colOff>238125</xdr:colOff>
          <xdr:row>60</xdr:row>
          <xdr:rowOff>123825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D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59</xdr:row>
      <xdr:rowOff>0</xdr:rowOff>
    </xdr:from>
    <xdr:to>
      <xdr:col>7</xdr:col>
      <xdr:colOff>228600</xdr:colOff>
      <xdr:row>60</xdr:row>
      <xdr:rowOff>28575</xdr:rowOff>
    </xdr:to>
    <xdr:pic>
      <xdr:nvPicPr>
        <xdr:cNvPr id="1079" name="Picture 107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411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60</xdr:row>
          <xdr:rowOff>104775</xdr:rowOff>
        </xdr:from>
        <xdr:to>
          <xdr:col>6</xdr:col>
          <xdr:colOff>238125</xdr:colOff>
          <xdr:row>61</xdr:row>
          <xdr:rowOff>123825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D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61</xdr:row>
      <xdr:rowOff>0</xdr:rowOff>
    </xdr:from>
    <xdr:to>
      <xdr:col>6</xdr:col>
      <xdr:colOff>228600</xdr:colOff>
      <xdr:row>62</xdr:row>
      <xdr:rowOff>28575</xdr:rowOff>
    </xdr:to>
    <xdr:pic>
      <xdr:nvPicPr>
        <xdr:cNvPr id="1083" name="Picture 108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2001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62</xdr:row>
          <xdr:rowOff>104775</xdr:rowOff>
        </xdr:from>
        <xdr:to>
          <xdr:col>6</xdr:col>
          <xdr:colOff>238125</xdr:colOff>
          <xdr:row>63</xdr:row>
          <xdr:rowOff>123825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D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62</xdr:row>
      <xdr:rowOff>0</xdr:rowOff>
    </xdr:from>
    <xdr:to>
      <xdr:col>7</xdr:col>
      <xdr:colOff>228600</xdr:colOff>
      <xdr:row>63</xdr:row>
      <xdr:rowOff>28575</xdr:rowOff>
    </xdr:to>
    <xdr:pic>
      <xdr:nvPicPr>
        <xdr:cNvPr id="1084" name="Picture 108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26206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63</xdr:row>
          <xdr:rowOff>104775</xdr:rowOff>
        </xdr:from>
        <xdr:to>
          <xdr:col>6</xdr:col>
          <xdr:colOff>238125</xdr:colOff>
          <xdr:row>64</xdr:row>
          <xdr:rowOff>123825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D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63</xdr:row>
      <xdr:rowOff>0</xdr:rowOff>
    </xdr:from>
    <xdr:to>
      <xdr:col>7</xdr:col>
      <xdr:colOff>228600</xdr:colOff>
      <xdr:row>64</xdr:row>
      <xdr:rowOff>28575</xdr:rowOff>
    </xdr:to>
    <xdr:pic>
      <xdr:nvPicPr>
        <xdr:cNvPr id="1085" name="Picture 108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33921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64</xdr:row>
          <xdr:rowOff>104775</xdr:rowOff>
        </xdr:from>
        <xdr:to>
          <xdr:col>6</xdr:col>
          <xdr:colOff>238125</xdr:colOff>
          <xdr:row>65</xdr:row>
          <xdr:rowOff>123825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D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64</xdr:row>
      <xdr:rowOff>0</xdr:rowOff>
    </xdr:from>
    <xdr:to>
      <xdr:col>7</xdr:col>
      <xdr:colOff>228600</xdr:colOff>
      <xdr:row>65</xdr:row>
      <xdr:rowOff>28575</xdr:rowOff>
    </xdr:to>
    <xdr:pic>
      <xdr:nvPicPr>
        <xdr:cNvPr id="1086" name="Picture 108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3160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65</xdr:row>
          <xdr:rowOff>104775</xdr:rowOff>
        </xdr:from>
        <xdr:to>
          <xdr:col>6</xdr:col>
          <xdr:colOff>238125</xdr:colOff>
          <xdr:row>66</xdr:row>
          <xdr:rowOff>123825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D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65</xdr:row>
      <xdr:rowOff>0</xdr:rowOff>
    </xdr:from>
    <xdr:to>
      <xdr:col>7</xdr:col>
      <xdr:colOff>228600</xdr:colOff>
      <xdr:row>66</xdr:row>
      <xdr:rowOff>28575</xdr:rowOff>
    </xdr:to>
    <xdr:pic>
      <xdr:nvPicPr>
        <xdr:cNvPr id="1088" name="Picture 108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392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66</xdr:row>
          <xdr:rowOff>104775</xdr:rowOff>
        </xdr:from>
        <xdr:to>
          <xdr:col>6</xdr:col>
          <xdr:colOff>238125</xdr:colOff>
          <xdr:row>67</xdr:row>
          <xdr:rowOff>123825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D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66</xdr:row>
      <xdr:rowOff>0</xdr:rowOff>
    </xdr:from>
    <xdr:to>
      <xdr:col>7</xdr:col>
      <xdr:colOff>228600</xdr:colOff>
      <xdr:row>67</xdr:row>
      <xdr:rowOff>28575</xdr:rowOff>
    </xdr:to>
    <xdr:pic>
      <xdr:nvPicPr>
        <xdr:cNvPr id="1090" name="Picture 108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8591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67</xdr:row>
          <xdr:rowOff>104775</xdr:rowOff>
        </xdr:from>
        <xdr:to>
          <xdr:col>6</xdr:col>
          <xdr:colOff>238125</xdr:colOff>
          <xdr:row>68</xdr:row>
          <xdr:rowOff>123825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D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67</xdr:row>
      <xdr:rowOff>0</xdr:rowOff>
    </xdr:from>
    <xdr:to>
      <xdr:col>7</xdr:col>
      <xdr:colOff>228600</xdr:colOff>
      <xdr:row>68</xdr:row>
      <xdr:rowOff>28575</xdr:rowOff>
    </xdr:to>
    <xdr:pic>
      <xdr:nvPicPr>
        <xdr:cNvPr id="1092" name="Picture 109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69354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68</xdr:row>
          <xdr:rowOff>104775</xdr:rowOff>
        </xdr:from>
        <xdr:to>
          <xdr:col>6</xdr:col>
          <xdr:colOff>238125</xdr:colOff>
          <xdr:row>69</xdr:row>
          <xdr:rowOff>123825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D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68</xdr:row>
      <xdr:rowOff>0</xdr:rowOff>
    </xdr:from>
    <xdr:to>
      <xdr:col>7</xdr:col>
      <xdr:colOff>228600</xdr:colOff>
      <xdr:row>69</xdr:row>
      <xdr:rowOff>28575</xdr:rowOff>
    </xdr:to>
    <xdr:pic>
      <xdr:nvPicPr>
        <xdr:cNvPr id="1094" name="Picture 109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7859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69</xdr:row>
          <xdr:rowOff>104775</xdr:rowOff>
        </xdr:from>
        <xdr:to>
          <xdr:col>6</xdr:col>
          <xdr:colOff>238125</xdr:colOff>
          <xdr:row>70</xdr:row>
          <xdr:rowOff>123825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D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69</xdr:row>
      <xdr:rowOff>0</xdr:rowOff>
    </xdr:from>
    <xdr:to>
      <xdr:col>7</xdr:col>
      <xdr:colOff>228600</xdr:colOff>
      <xdr:row>70</xdr:row>
      <xdr:rowOff>28575</xdr:rowOff>
    </xdr:to>
    <xdr:pic>
      <xdr:nvPicPr>
        <xdr:cNvPr id="1096" name="Picture 109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9357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70</xdr:row>
          <xdr:rowOff>104775</xdr:rowOff>
        </xdr:from>
        <xdr:to>
          <xdr:col>6</xdr:col>
          <xdr:colOff>238125</xdr:colOff>
          <xdr:row>71</xdr:row>
          <xdr:rowOff>123825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D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71</xdr:row>
      <xdr:rowOff>0</xdr:rowOff>
    </xdr:from>
    <xdr:to>
      <xdr:col>6</xdr:col>
      <xdr:colOff>228600</xdr:colOff>
      <xdr:row>72</xdr:row>
      <xdr:rowOff>28575</xdr:rowOff>
    </xdr:to>
    <xdr:pic>
      <xdr:nvPicPr>
        <xdr:cNvPr id="1100" name="Picture 109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4001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72</xdr:row>
          <xdr:rowOff>114300</xdr:rowOff>
        </xdr:from>
        <xdr:to>
          <xdr:col>6</xdr:col>
          <xdr:colOff>238125</xdr:colOff>
          <xdr:row>73</xdr:row>
          <xdr:rowOff>142875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D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72</xdr:row>
      <xdr:rowOff>0</xdr:rowOff>
    </xdr:from>
    <xdr:to>
      <xdr:col>7</xdr:col>
      <xdr:colOff>228600</xdr:colOff>
      <xdr:row>73</xdr:row>
      <xdr:rowOff>28575</xdr:rowOff>
    </xdr:to>
    <xdr:pic>
      <xdr:nvPicPr>
        <xdr:cNvPr id="1102" name="Picture 110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4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49256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73</xdr:row>
          <xdr:rowOff>114300</xdr:rowOff>
        </xdr:from>
        <xdr:to>
          <xdr:col>6</xdr:col>
          <xdr:colOff>238125</xdr:colOff>
          <xdr:row>74</xdr:row>
          <xdr:rowOff>142875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D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73</xdr:row>
      <xdr:rowOff>0</xdr:rowOff>
    </xdr:from>
    <xdr:to>
      <xdr:col>7</xdr:col>
      <xdr:colOff>228600</xdr:colOff>
      <xdr:row>74</xdr:row>
      <xdr:rowOff>28575</xdr:rowOff>
    </xdr:to>
    <xdr:pic>
      <xdr:nvPicPr>
        <xdr:cNvPr id="1104" name="Picture 110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5544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74</xdr:row>
          <xdr:rowOff>123825</xdr:rowOff>
        </xdr:from>
        <xdr:to>
          <xdr:col>6</xdr:col>
          <xdr:colOff>238125</xdr:colOff>
          <xdr:row>75</xdr:row>
          <xdr:rowOff>142875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D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74</xdr:row>
      <xdr:rowOff>0</xdr:rowOff>
    </xdr:from>
    <xdr:to>
      <xdr:col>7</xdr:col>
      <xdr:colOff>228600</xdr:colOff>
      <xdr:row>75</xdr:row>
      <xdr:rowOff>28575</xdr:rowOff>
    </xdr:to>
    <xdr:pic>
      <xdr:nvPicPr>
        <xdr:cNvPr id="1106" name="Picture 110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6011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75</xdr:row>
          <xdr:rowOff>123825</xdr:rowOff>
        </xdr:from>
        <xdr:to>
          <xdr:col>6</xdr:col>
          <xdr:colOff>238125</xdr:colOff>
          <xdr:row>76</xdr:row>
          <xdr:rowOff>142875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D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75</xdr:row>
      <xdr:rowOff>0</xdr:rowOff>
    </xdr:from>
    <xdr:to>
      <xdr:col>7</xdr:col>
      <xdr:colOff>228600</xdr:colOff>
      <xdr:row>76</xdr:row>
      <xdr:rowOff>28575</xdr:rowOff>
    </xdr:to>
    <xdr:pic>
      <xdr:nvPicPr>
        <xdr:cNvPr id="1107" name="Picture 110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6630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76</xdr:row>
          <xdr:rowOff>123825</xdr:rowOff>
        </xdr:from>
        <xdr:to>
          <xdr:col>6</xdr:col>
          <xdr:colOff>238125</xdr:colOff>
          <xdr:row>77</xdr:row>
          <xdr:rowOff>142875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D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76</xdr:row>
      <xdr:rowOff>0</xdr:rowOff>
    </xdr:from>
    <xdr:to>
      <xdr:col>7</xdr:col>
      <xdr:colOff>228600</xdr:colOff>
      <xdr:row>77</xdr:row>
      <xdr:rowOff>28575</xdr:rowOff>
    </xdr:to>
    <xdr:pic>
      <xdr:nvPicPr>
        <xdr:cNvPr id="1109" name="Picture 110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7554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77</xdr:row>
          <xdr:rowOff>123825</xdr:rowOff>
        </xdr:from>
        <xdr:to>
          <xdr:col>6</xdr:col>
          <xdr:colOff>238125</xdr:colOff>
          <xdr:row>78</xdr:row>
          <xdr:rowOff>142875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D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77</xdr:row>
      <xdr:rowOff>0</xdr:rowOff>
    </xdr:from>
    <xdr:to>
      <xdr:col>7</xdr:col>
      <xdr:colOff>228600</xdr:colOff>
      <xdr:row>78</xdr:row>
      <xdr:rowOff>28575</xdr:rowOff>
    </xdr:to>
    <xdr:pic>
      <xdr:nvPicPr>
        <xdr:cNvPr id="1111" name="Picture 111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478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78</xdr:row>
          <xdr:rowOff>123825</xdr:rowOff>
        </xdr:from>
        <xdr:to>
          <xdr:col>6</xdr:col>
          <xdr:colOff>238125</xdr:colOff>
          <xdr:row>79</xdr:row>
          <xdr:rowOff>142875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D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78</xdr:row>
      <xdr:rowOff>0</xdr:rowOff>
    </xdr:from>
    <xdr:to>
      <xdr:col>7</xdr:col>
      <xdr:colOff>228600</xdr:colOff>
      <xdr:row>79</xdr:row>
      <xdr:rowOff>28575</xdr:rowOff>
    </xdr:to>
    <xdr:pic>
      <xdr:nvPicPr>
        <xdr:cNvPr id="1113" name="Picture 111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945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79</xdr:row>
          <xdr:rowOff>123825</xdr:rowOff>
        </xdr:from>
        <xdr:to>
          <xdr:col>6</xdr:col>
          <xdr:colOff>238125</xdr:colOff>
          <xdr:row>80</xdr:row>
          <xdr:rowOff>142875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D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79</xdr:row>
      <xdr:rowOff>0</xdr:rowOff>
    </xdr:from>
    <xdr:to>
      <xdr:col>7</xdr:col>
      <xdr:colOff>228600</xdr:colOff>
      <xdr:row>80</xdr:row>
      <xdr:rowOff>28575</xdr:rowOff>
    </xdr:to>
    <xdr:pic>
      <xdr:nvPicPr>
        <xdr:cNvPr id="1115" name="Picture 111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95643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80</xdr:row>
          <xdr:rowOff>142875</xdr:rowOff>
        </xdr:from>
        <xdr:to>
          <xdr:col>6</xdr:col>
          <xdr:colOff>238125</xdr:colOff>
          <xdr:row>81</xdr:row>
          <xdr:rowOff>161925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D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81</xdr:row>
      <xdr:rowOff>0</xdr:rowOff>
    </xdr:from>
    <xdr:to>
      <xdr:col>6</xdr:col>
      <xdr:colOff>228600</xdr:colOff>
      <xdr:row>82</xdr:row>
      <xdr:rowOff>28575</xdr:rowOff>
    </xdr:to>
    <xdr:pic>
      <xdr:nvPicPr>
        <xdr:cNvPr id="1119" name="Picture 111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6002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82</xdr:row>
          <xdr:rowOff>142875</xdr:rowOff>
        </xdr:from>
        <xdr:to>
          <xdr:col>6</xdr:col>
          <xdr:colOff>238125</xdr:colOff>
          <xdr:row>83</xdr:row>
          <xdr:rowOff>161925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D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82</xdr:row>
      <xdr:rowOff>0</xdr:rowOff>
    </xdr:from>
    <xdr:to>
      <xdr:col>7</xdr:col>
      <xdr:colOff>228600</xdr:colOff>
      <xdr:row>83</xdr:row>
      <xdr:rowOff>28575</xdr:rowOff>
    </xdr:to>
    <xdr:pic>
      <xdr:nvPicPr>
        <xdr:cNvPr id="1121" name="Picture 112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72307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83</xdr:row>
          <xdr:rowOff>142875</xdr:rowOff>
        </xdr:from>
        <xdr:to>
          <xdr:col>6</xdr:col>
          <xdr:colOff>238125</xdr:colOff>
          <xdr:row>84</xdr:row>
          <xdr:rowOff>161925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D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83</xdr:row>
      <xdr:rowOff>0</xdr:rowOff>
    </xdr:from>
    <xdr:to>
      <xdr:col>7</xdr:col>
      <xdr:colOff>228600</xdr:colOff>
      <xdr:row>84</xdr:row>
      <xdr:rowOff>28575</xdr:rowOff>
    </xdr:to>
    <xdr:pic>
      <xdr:nvPicPr>
        <xdr:cNvPr id="1123" name="Picture 112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154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84</xdr:row>
          <xdr:rowOff>142875</xdr:rowOff>
        </xdr:from>
        <xdr:to>
          <xdr:col>6</xdr:col>
          <xdr:colOff>238125</xdr:colOff>
          <xdr:row>85</xdr:row>
          <xdr:rowOff>161925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D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84</xdr:row>
      <xdr:rowOff>0</xdr:rowOff>
    </xdr:from>
    <xdr:to>
      <xdr:col>7</xdr:col>
      <xdr:colOff>228600</xdr:colOff>
      <xdr:row>85</xdr:row>
      <xdr:rowOff>28575</xdr:rowOff>
    </xdr:to>
    <xdr:pic>
      <xdr:nvPicPr>
        <xdr:cNvPr id="1125" name="Picture 112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7737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85</xdr:row>
          <xdr:rowOff>142875</xdr:rowOff>
        </xdr:from>
        <xdr:to>
          <xdr:col>6</xdr:col>
          <xdr:colOff>238125</xdr:colOff>
          <xdr:row>86</xdr:row>
          <xdr:rowOff>161925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D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85</xdr:row>
      <xdr:rowOff>0</xdr:rowOff>
    </xdr:from>
    <xdr:to>
      <xdr:col>7</xdr:col>
      <xdr:colOff>228600</xdr:colOff>
      <xdr:row>86</xdr:row>
      <xdr:rowOff>28575</xdr:rowOff>
    </xdr:to>
    <xdr:pic>
      <xdr:nvPicPr>
        <xdr:cNvPr id="1126" name="Picture 112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0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86</xdr:row>
          <xdr:rowOff>142875</xdr:rowOff>
        </xdr:from>
        <xdr:to>
          <xdr:col>6</xdr:col>
          <xdr:colOff>238125</xdr:colOff>
          <xdr:row>87</xdr:row>
          <xdr:rowOff>161925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D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86</xdr:row>
      <xdr:rowOff>0</xdr:rowOff>
    </xdr:from>
    <xdr:to>
      <xdr:col>7</xdr:col>
      <xdr:colOff>228600</xdr:colOff>
      <xdr:row>87</xdr:row>
      <xdr:rowOff>28575</xdr:rowOff>
    </xdr:to>
    <xdr:pic>
      <xdr:nvPicPr>
        <xdr:cNvPr id="1128" name="Picture 112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1231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87</xdr:row>
          <xdr:rowOff>142875</xdr:rowOff>
        </xdr:from>
        <xdr:to>
          <xdr:col>6</xdr:col>
          <xdr:colOff>238125</xdr:colOff>
          <xdr:row>88</xdr:row>
          <xdr:rowOff>161925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D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87</xdr:row>
      <xdr:rowOff>0</xdr:rowOff>
    </xdr:from>
    <xdr:to>
      <xdr:col>7</xdr:col>
      <xdr:colOff>228600</xdr:colOff>
      <xdr:row>88</xdr:row>
      <xdr:rowOff>28575</xdr:rowOff>
    </xdr:to>
    <xdr:pic>
      <xdr:nvPicPr>
        <xdr:cNvPr id="1130" name="Picture 112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307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88</xdr:row>
          <xdr:rowOff>142875</xdr:rowOff>
        </xdr:from>
        <xdr:to>
          <xdr:col>6</xdr:col>
          <xdr:colOff>238125</xdr:colOff>
          <xdr:row>89</xdr:row>
          <xdr:rowOff>161925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D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88</xdr:row>
      <xdr:rowOff>0</xdr:rowOff>
    </xdr:from>
    <xdr:to>
      <xdr:col>7</xdr:col>
      <xdr:colOff>228600</xdr:colOff>
      <xdr:row>89</xdr:row>
      <xdr:rowOff>28575</xdr:rowOff>
    </xdr:to>
    <xdr:pic>
      <xdr:nvPicPr>
        <xdr:cNvPr id="1132" name="Picture 113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774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89</xdr:row>
          <xdr:rowOff>142875</xdr:rowOff>
        </xdr:from>
        <xdr:to>
          <xdr:col>6</xdr:col>
          <xdr:colOff>238125</xdr:colOff>
          <xdr:row>90</xdr:row>
          <xdr:rowOff>161925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D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89</xdr:row>
      <xdr:rowOff>0</xdr:rowOff>
    </xdr:from>
    <xdr:to>
      <xdr:col>7</xdr:col>
      <xdr:colOff>228600</xdr:colOff>
      <xdr:row>90</xdr:row>
      <xdr:rowOff>28575</xdr:rowOff>
    </xdr:to>
    <xdr:pic>
      <xdr:nvPicPr>
        <xdr:cNvPr id="1134" name="Picture 113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3934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90</xdr:row>
          <xdr:rowOff>142875</xdr:rowOff>
        </xdr:from>
        <xdr:to>
          <xdr:col>6</xdr:col>
          <xdr:colOff>238125</xdr:colOff>
          <xdr:row>91</xdr:row>
          <xdr:rowOff>161925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D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91</xdr:row>
      <xdr:rowOff>0</xdr:rowOff>
    </xdr:from>
    <xdr:to>
      <xdr:col>6</xdr:col>
      <xdr:colOff>228600</xdr:colOff>
      <xdr:row>92</xdr:row>
      <xdr:rowOff>28575</xdr:rowOff>
    </xdr:to>
    <xdr:pic>
      <xdr:nvPicPr>
        <xdr:cNvPr id="1138" name="Picture 113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18002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92</xdr:row>
          <xdr:rowOff>142875</xdr:rowOff>
        </xdr:from>
        <xdr:to>
          <xdr:col>6</xdr:col>
          <xdr:colOff>238125</xdr:colOff>
          <xdr:row>93</xdr:row>
          <xdr:rowOff>161925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D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92</xdr:row>
      <xdr:rowOff>0</xdr:rowOff>
    </xdr:from>
    <xdr:to>
      <xdr:col>7</xdr:col>
      <xdr:colOff>228600</xdr:colOff>
      <xdr:row>93</xdr:row>
      <xdr:rowOff>28575</xdr:rowOff>
    </xdr:to>
    <xdr:pic>
      <xdr:nvPicPr>
        <xdr:cNvPr id="1140" name="Picture 113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84689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93</xdr:row>
          <xdr:rowOff>142875</xdr:rowOff>
        </xdr:from>
        <xdr:to>
          <xdr:col>6</xdr:col>
          <xdr:colOff>238125</xdr:colOff>
          <xdr:row>94</xdr:row>
          <xdr:rowOff>161925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D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93</xdr:row>
      <xdr:rowOff>0</xdr:rowOff>
    </xdr:from>
    <xdr:to>
      <xdr:col>7</xdr:col>
      <xdr:colOff>228600</xdr:colOff>
      <xdr:row>94</xdr:row>
      <xdr:rowOff>28575</xdr:rowOff>
    </xdr:to>
    <xdr:pic>
      <xdr:nvPicPr>
        <xdr:cNvPr id="1142" name="Picture 114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19240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94</xdr:row>
          <xdr:rowOff>142875</xdr:rowOff>
        </xdr:from>
        <xdr:to>
          <xdr:col>6</xdr:col>
          <xdr:colOff>238125</xdr:colOff>
          <xdr:row>95</xdr:row>
          <xdr:rowOff>161925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D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94</xdr:row>
      <xdr:rowOff>0</xdr:rowOff>
    </xdr:from>
    <xdr:to>
      <xdr:col>7</xdr:col>
      <xdr:colOff>228600</xdr:colOff>
      <xdr:row>95</xdr:row>
      <xdr:rowOff>28575</xdr:rowOff>
    </xdr:to>
    <xdr:pic>
      <xdr:nvPicPr>
        <xdr:cNvPr id="1143" name="Picture 114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164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95</xdr:row>
          <xdr:rowOff>152400</xdr:rowOff>
        </xdr:from>
        <xdr:to>
          <xdr:col>6</xdr:col>
          <xdr:colOff>238125</xdr:colOff>
          <xdr:row>96</xdr:row>
          <xdr:rowOff>180975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D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95</xdr:row>
      <xdr:rowOff>0</xdr:rowOff>
    </xdr:from>
    <xdr:to>
      <xdr:col>7</xdr:col>
      <xdr:colOff>228600</xdr:colOff>
      <xdr:row>96</xdr:row>
      <xdr:rowOff>28575</xdr:rowOff>
    </xdr:to>
    <xdr:pic>
      <xdr:nvPicPr>
        <xdr:cNvPr id="1145" name="Picture 114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1240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96</xdr:row>
          <xdr:rowOff>152400</xdr:rowOff>
        </xdr:from>
        <xdr:to>
          <xdr:col>6</xdr:col>
          <xdr:colOff>238125</xdr:colOff>
          <xdr:row>97</xdr:row>
          <xdr:rowOff>180975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D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96</xdr:row>
      <xdr:rowOff>0</xdr:rowOff>
    </xdr:from>
    <xdr:to>
      <xdr:col>7</xdr:col>
      <xdr:colOff>228600</xdr:colOff>
      <xdr:row>97</xdr:row>
      <xdr:rowOff>28575</xdr:rowOff>
    </xdr:to>
    <xdr:pic>
      <xdr:nvPicPr>
        <xdr:cNvPr id="1147" name="Picture 114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774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97</xdr:row>
          <xdr:rowOff>152400</xdr:rowOff>
        </xdr:from>
        <xdr:to>
          <xdr:col>6</xdr:col>
          <xdr:colOff>238125</xdr:colOff>
          <xdr:row>98</xdr:row>
          <xdr:rowOff>180975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D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97</xdr:row>
      <xdr:rowOff>0</xdr:rowOff>
    </xdr:from>
    <xdr:to>
      <xdr:col>7</xdr:col>
      <xdr:colOff>228600</xdr:colOff>
      <xdr:row>98</xdr:row>
      <xdr:rowOff>28575</xdr:rowOff>
    </xdr:to>
    <xdr:pic>
      <xdr:nvPicPr>
        <xdr:cNvPr id="1149" name="Picture 114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40030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98</xdr:row>
          <xdr:rowOff>161925</xdr:rowOff>
        </xdr:from>
        <xdr:to>
          <xdr:col>6</xdr:col>
          <xdr:colOff>238125</xdr:colOff>
          <xdr:row>99</xdr:row>
          <xdr:rowOff>180975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D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98</xdr:row>
      <xdr:rowOff>0</xdr:rowOff>
    </xdr:from>
    <xdr:to>
      <xdr:col>7</xdr:col>
      <xdr:colOff>228600</xdr:colOff>
      <xdr:row>99</xdr:row>
      <xdr:rowOff>28575</xdr:rowOff>
    </xdr:to>
    <xdr:pic>
      <xdr:nvPicPr>
        <xdr:cNvPr id="1151" name="Picture 115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50793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99</xdr:row>
          <xdr:rowOff>161925</xdr:rowOff>
        </xdr:from>
        <xdr:to>
          <xdr:col>6</xdr:col>
          <xdr:colOff>238125</xdr:colOff>
          <xdr:row>100</xdr:row>
          <xdr:rowOff>180975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D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99</xdr:row>
      <xdr:rowOff>0</xdr:rowOff>
    </xdr:from>
    <xdr:to>
      <xdr:col>7</xdr:col>
      <xdr:colOff>228600</xdr:colOff>
      <xdr:row>100</xdr:row>
      <xdr:rowOff>28575</xdr:rowOff>
    </xdr:to>
    <xdr:pic>
      <xdr:nvPicPr>
        <xdr:cNvPr id="1153" name="Picture 115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60032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100</xdr:row>
          <xdr:rowOff>161925</xdr:rowOff>
        </xdr:from>
        <xdr:to>
          <xdr:col>6</xdr:col>
          <xdr:colOff>238125</xdr:colOff>
          <xdr:row>101</xdr:row>
          <xdr:rowOff>180975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D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101</xdr:row>
      <xdr:rowOff>0</xdr:rowOff>
    </xdr:from>
    <xdr:to>
      <xdr:col>6</xdr:col>
      <xdr:colOff>228600</xdr:colOff>
      <xdr:row>102</xdr:row>
      <xdr:rowOff>28575</xdr:rowOff>
    </xdr:to>
    <xdr:pic>
      <xdr:nvPicPr>
        <xdr:cNvPr id="1157" name="Picture 115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0002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102</xdr:row>
          <xdr:rowOff>161925</xdr:rowOff>
        </xdr:from>
        <xdr:to>
          <xdr:col>6</xdr:col>
          <xdr:colOff>238125</xdr:colOff>
          <xdr:row>103</xdr:row>
          <xdr:rowOff>180975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D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102</xdr:row>
      <xdr:rowOff>0</xdr:rowOff>
    </xdr:from>
    <xdr:to>
      <xdr:col>7</xdr:col>
      <xdr:colOff>228600</xdr:colOff>
      <xdr:row>103</xdr:row>
      <xdr:rowOff>28575</xdr:rowOff>
    </xdr:to>
    <xdr:pic>
      <xdr:nvPicPr>
        <xdr:cNvPr id="1159" name="Picture 115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09264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103</xdr:row>
          <xdr:rowOff>161925</xdr:rowOff>
        </xdr:from>
        <xdr:to>
          <xdr:col>6</xdr:col>
          <xdr:colOff>238125</xdr:colOff>
          <xdr:row>104</xdr:row>
          <xdr:rowOff>180975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D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103</xdr:row>
      <xdr:rowOff>0</xdr:rowOff>
    </xdr:from>
    <xdr:to>
      <xdr:col>7</xdr:col>
      <xdr:colOff>228600</xdr:colOff>
      <xdr:row>104</xdr:row>
      <xdr:rowOff>28575</xdr:rowOff>
    </xdr:to>
    <xdr:pic>
      <xdr:nvPicPr>
        <xdr:cNvPr id="1161" name="Picture 116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16979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104</xdr:row>
          <xdr:rowOff>180975</xdr:rowOff>
        </xdr:from>
        <xdr:to>
          <xdr:col>6</xdr:col>
          <xdr:colOff>238125</xdr:colOff>
          <xdr:row>106</xdr:row>
          <xdr:rowOff>9525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D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104</xdr:row>
      <xdr:rowOff>0</xdr:rowOff>
    </xdr:from>
    <xdr:to>
      <xdr:col>7</xdr:col>
      <xdr:colOff>228600</xdr:colOff>
      <xdr:row>105</xdr:row>
      <xdr:rowOff>28575</xdr:rowOff>
    </xdr:to>
    <xdr:pic>
      <xdr:nvPicPr>
        <xdr:cNvPr id="1162" name="Picture 116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4694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105</xdr:row>
          <xdr:rowOff>180975</xdr:rowOff>
        </xdr:from>
        <xdr:to>
          <xdr:col>6</xdr:col>
          <xdr:colOff>238125</xdr:colOff>
          <xdr:row>107</xdr:row>
          <xdr:rowOff>9525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D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105</xdr:row>
      <xdr:rowOff>0</xdr:rowOff>
    </xdr:from>
    <xdr:to>
      <xdr:col>7</xdr:col>
      <xdr:colOff>228600</xdr:colOff>
      <xdr:row>106</xdr:row>
      <xdr:rowOff>28575</xdr:rowOff>
    </xdr:to>
    <xdr:pic>
      <xdr:nvPicPr>
        <xdr:cNvPr id="1164" name="Picture 1163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5458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106</xdr:row>
          <xdr:rowOff>180975</xdr:rowOff>
        </xdr:from>
        <xdr:to>
          <xdr:col>6</xdr:col>
          <xdr:colOff>238125</xdr:colOff>
          <xdr:row>108</xdr:row>
          <xdr:rowOff>9525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D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106</xdr:row>
      <xdr:rowOff>0</xdr:rowOff>
    </xdr:from>
    <xdr:to>
      <xdr:col>7</xdr:col>
      <xdr:colOff>228600</xdr:colOff>
      <xdr:row>107</xdr:row>
      <xdr:rowOff>28575</xdr:rowOff>
    </xdr:to>
    <xdr:pic>
      <xdr:nvPicPr>
        <xdr:cNvPr id="1166" name="Picture 116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8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47745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107</xdr:row>
          <xdr:rowOff>180975</xdr:rowOff>
        </xdr:from>
        <xdr:to>
          <xdr:col>6</xdr:col>
          <xdr:colOff>238125</xdr:colOff>
          <xdr:row>109</xdr:row>
          <xdr:rowOff>9525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D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107</xdr:row>
      <xdr:rowOff>0</xdr:rowOff>
    </xdr:from>
    <xdr:to>
      <xdr:col>7</xdr:col>
      <xdr:colOff>228600</xdr:colOff>
      <xdr:row>108</xdr:row>
      <xdr:rowOff>28575</xdr:rowOff>
    </xdr:to>
    <xdr:pic>
      <xdr:nvPicPr>
        <xdr:cNvPr id="1168" name="Picture 116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58508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108</xdr:row>
          <xdr:rowOff>180975</xdr:rowOff>
        </xdr:from>
        <xdr:to>
          <xdr:col>6</xdr:col>
          <xdr:colOff>238125</xdr:colOff>
          <xdr:row>110</xdr:row>
          <xdr:rowOff>9525</xdr:rowOff>
        </xdr:to>
        <xdr:sp macro="" textlink="">
          <xdr:nvSpPr>
            <xdr:cNvPr id="1289" name="Control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D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108</xdr:row>
      <xdr:rowOff>0</xdr:rowOff>
    </xdr:from>
    <xdr:to>
      <xdr:col>7</xdr:col>
      <xdr:colOff>228600</xdr:colOff>
      <xdr:row>109</xdr:row>
      <xdr:rowOff>28575</xdr:rowOff>
    </xdr:to>
    <xdr:pic>
      <xdr:nvPicPr>
        <xdr:cNvPr id="1170" name="Picture 116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70795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109</xdr:row>
          <xdr:rowOff>180975</xdr:rowOff>
        </xdr:from>
        <xdr:to>
          <xdr:col>6</xdr:col>
          <xdr:colOff>238125</xdr:colOff>
          <xdr:row>111</xdr:row>
          <xdr:rowOff>9525</xdr:rowOff>
        </xdr:to>
        <xdr:sp macro="" textlink="">
          <xdr:nvSpPr>
            <xdr:cNvPr id="1291" name="Control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D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109</xdr:row>
      <xdr:rowOff>0</xdr:rowOff>
    </xdr:from>
    <xdr:to>
      <xdr:col>7</xdr:col>
      <xdr:colOff>228600</xdr:colOff>
      <xdr:row>110</xdr:row>
      <xdr:rowOff>28575</xdr:rowOff>
    </xdr:to>
    <xdr:pic>
      <xdr:nvPicPr>
        <xdr:cNvPr id="1172" name="Picture 1171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0035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110</xdr:row>
          <xdr:rowOff>180975</xdr:rowOff>
        </xdr:from>
        <xdr:to>
          <xdr:col>6</xdr:col>
          <xdr:colOff>238125</xdr:colOff>
          <xdr:row>112</xdr:row>
          <xdr:rowOff>9525</xdr:rowOff>
        </xdr:to>
        <xdr:sp macro="" textlink="">
          <xdr:nvSpPr>
            <xdr:cNvPr id="1293" name="Control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D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6</xdr:col>
      <xdr:colOff>0</xdr:colOff>
      <xdr:row>111</xdr:row>
      <xdr:rowOff>0</xdr:rowOff>
    </xdr:from>
    <xdr:to>
      <xdr:col>6</xdr:col>
      <xdr:colOff>228600</xdr:colOff>
      <xdr:row>112</xdr:row>
      <xdr:rowOff>28575</xdr:rowOff>
    </xdr:to>
    <xdr:pic>
      <xdr:nvPicPr>
        <xdr:cNvPr id="1176" name="Picture 1175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15125" y="220027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112</xdr:row>
          <xdr:rowOff>180975</xdr:rowOff>
        </xdr:from>
        <xdr:to>
          <xdr:col>6</xdr:col>
          <xdr:colOff>238125</xdr:colOff>
          <xdr:row>114</xdr:row>
          <xdr:rowOff>9525</xdr:rowOff>
        </xdr:to>
        <xdr:sp macro="" textlink="">
          <xdr:nvSpPr>
            <xdr:cNvPr id="1296" name="Control 272" hidden="1">
              <a:extLst>
                <a:ext uri="{63B3BB69-23CF-44E3-9099-C40C66FF867C}">
                  <a14:compatExt spid="_x0000_s1296"/>
                </a:ext>
                <a:ext uri="{FF2B5EF4-FFF2-40B4-BE49-F238E27FC236}">
                  <a16:creationId xmlns:a16="http://schemas.microsoft.com/office/drawing/2014/main" id="{00000000-0008-0000-0D00-00001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112</xdr:row>
      <xdr:rowOff>0</xdr:rowOff>
    </xdr:from>
    <xdr:to>
      <xdr:col>7</xdr:col>
      <xdr:colOff>228600</xdr:colOff>
      <xdr:row>113</xdr:row>
      <xdr:rowOff>28575</xdr:rowOff>
    </xdr:to>
    <xdr:pic>
      <xdr:nvPicPr>
        <xdr:cNvPr id="1178" name="Picture 1177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2774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113</xdr:row>
          <xdr:rowOff>180975</xdr:rowOff>
        </xdr:from>
        <xdr:to>
          <xdr:col>6</xdr:col>
          <xdr:colOff>238125</xdr:colOff>
          <xdr:row>115</xdr:row>
          <xdr:rowOff>9525</xdr:rowOff>
        </xdr:to>
        <xdr:sp macro="" textlink="">
          <xdr:nvSpPr>
            <xdr:cNvPr id="1298" name="Control 274" hidden="1">
              <a:extLst>
                <a:ext uri="{63B3BB69-23CF-44E3-9099-C40C66FF867C}">
                  <a14:compatExt spid="_x0000_s1298"/>
                </a:ext>
                <a:ext uri="{FF2B5EF4-FFF2-40B4-BE49-F238E27FC236}">
                  <a16:creationId xmlns:a16="http://schemas.microsoft.com/office/drawing/2014/main" id="{00000000-0008-0000-0D00-00001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113</xdr:row>
      <xdr:rowOff>0</xdr:rowOff>
    </xdr:from>
    <xdr:to>
      <xdr:col>7</xdr:col>
      <xdr:colOff>228600</xdr:colOff>
      <xdr:row>114</xdr:row>
      <xdr:rowOff>28575</xdr:rowOff>
    </xdr:to>
    <xdr:pic>
      <xdr:nvPicPr>
        <xdr:cNvPr id="1180" name="Picture 1179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38506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114</xdr:row>
          <xdr:rowOff>180975</xdr:rowOff>
        </xdr:from>
        <xdr:to>
          <xdr:col>6</xdr:col>
          <xdr:colOff>238125</xdr:colOff>
          <xdr:row>116</xdr:row>
          <xdr:rowOff>9525</xdr:rowOff>
        </xdr:to>
        <xdr:sp macro="" textlink="">
          <xdr:nvSpPr>
            <xdr:cNvPr id="1300" name="Control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D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114</xdr:row>
      <xdr:rowOff>0</xdr:rowOff>
    </xdr:from>
    <xdr:to>
      <xdr:col>7</xdr:col>
      <xdr:colOff>228600</xdr:colOff>
      <xdr:row>115</xdr:row>
      <xdr:rowOff>28575</xdr:rowOff>
    </xdr:to>
    <xdr:pic>
      <xdr:nvPicPr>
        <xdr:cNvPr id="1181" name="Picture 118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50793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115</xdr:row>
          <xdr:rowOff>180975</xdr:rowOff>
        </xdr:from>
        <xdr:to>
          <xdr:col>6</xdr:col>
          <xdr:colOff>238125</xdr:colOff>
          <xdr:row>117</xdr:row>
          <xdr:rowOff>9525</xdr:rowOff>
        </xdr:to>
        <xdr:sp macro="" textlink="">
          <xdr:nvSpPr>
            <xdr:cNvPr id="1302" name="Control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D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115</xdr:row>
      <xdr:rowOff>0</xdr:rowOff>
    </xdr:from>
    <xdr:to>
      <xdr:col>7</xdr:col>
      <xdr:colOff>228600</xdr:colOff>
      <xdr:row>116</xdr:row>
      <xdr:rowOff>28575</xdr:rowOff>
    </xdr:to>
    <xdr:pic>
      <xdr:nvPicPr>
        <xdr:cNvPr id="1183" name="Picture 118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61556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117</xdr:row>
          <xdr:rowOff>0</xdr:rowOff>
        </xdr:from>
        <xdr:to>
          <xdr:col>6</xdr:col>
          <xdr:colOff>238125</xdr:colOff>
          <xdr:row>118</xdr:row>
          <xdr:rowOff>28575</xdr:rowOff>
        </xdr:to>
        <xdr:sp macro="" textlink="">
          <xdr:nvSpPr>
            <xdr:cNvPr id="1304" name="Control 280" hidden="1">
              <a:extLst>
                <a:ext uri="{63B3BB69-23CF-44E3-9099-C40C66FF867C}">
                  <a14:compatExt spid="_x0000_s1304"/>
                </a:ext>
                <a:ext uri="{FF2B5EF4-FFF2-40B4-BE49-F238E27FC236}">
                  <a16:creationId xmlns:a16="http://schemas.microsoft.com/office/drawing/2014/main" id="{00000000-0008-0000-0D00-00001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116</xdr:row>
      <xdr:rowOff>0</xdr:rowOff>
    </xdr:from>
    <xdr:to>
      <xdr:col>7</xdr:col>
      <xdr:colOff>228600</xdr:colOff>
      <xdr:row>117</xdr:row>
      <xdr:rowOff>28575</xdr:rowOff>
    </xdr:to>
    <xdr:pic>
      <xdr:nvPicPr>
        <xdr:cNvPr id="1185" name="Picture 1184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73843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118</xdr:row>
          <xdr:rowOff>0</xdr:rowOff>
        </xdr:from>
        <xdr:to>
          <xdr:col>6</xdr:col>
          <xdr:colOff>238125</xdr:colOff>
          <xdr:row>119</xdr:row>
          <xdr:rowOff>28575</xdr:rowOff>
        </xdr:to>
        <xdr:sp macro="" textlink="">
          <xdr:nvSpPr>
            <xdr:cNvPr id="1306" name="Control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D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117</xdr:row>
      <xdr:rowOff>0</xdr:rowOff>
    </xdr:from>
    <xdr:to>
      <xdr:col>7</xdr:col>
      <xdr:colOff>228600</xdr:colOff>
      <xdr:row>118</xdr:row>
      <xdr:rowOff>28575</xdr:rowOff>
    </xdr:to>
    <xdr:pic>
      <xdr:nvPicPr>
        <xdr:cNvPr id="1187" name="Picture 1186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830830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119</xdr:row>
          <xdr:rowOff>9525</xdr:rowOff>
        </xdr:from>
        <xdr:to>
          <xdr:col>6</xdr:col>
          <xdr:colOff>238125</xdr:colOff>
          <xdr:row>120</xdr:row>
          <xdr:rowOff>28575</xdr:rowOff>
        </xdr:to>
        <xdr:sp macro="" textlink="">
          <xdr:nvSpPr>
            <xdr:cNvPr id="1308" name="Control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D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118</xdr:row>
      <xdr:rowOff>0</xdr:rowOff>
    </xdr:from>
    <xdr:to>
      <xdr:col>7</xdr:col>
      <xdr:colOff>228600</xdr:colOff>
      <xdr:row>119</xdr:row>
      <xdr:rowOff>28575</xdr:rowOff>
    </xdr:to>
    <xdr:pic>
      <xdr:nvPicPr>
        <xdr:cNvPr id="1189" name="Picture 1188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2923222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120</xdr:row>
          <xdr:rowOff>9525</xdr:rowOff>
        </xdr:from>
        <xdr:to>
          <xdr:col>6</xdr:col>
          <xdr:colOff>238125</xdr:colOff>
          <xdr:row>121</xdr:row>
          <xdr:rowOff>28575</xdr:rowOff>
        </xdr:to>
        <xdr:sp macro="" textlink="">
          <xdr:nvSpPr>
            <xdr:cNvPr id="1310" name="Control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D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119</xdr:row>
      <xdr:rowOff>0</xdr:rowOff>
    </xdr:from>
    <xdr:to>
      <xdr:col>7</xdr:col>
      <xdr:colOff>228600</xdr:colOff>
      <xdr:row>120</xdr:row>
      <xdr:rowOff>28575</xdr:rowOff>
    </xdr:to>
    <xdr:pic>
      <xdr:nvPicPr>
        <xdr:cNvPr id="1191" name="Picture 1190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0308550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121</xdr:row>
          <xdr:rowOff>9525</xdr:rowOff>
        </xdr:from>
        <xdr:to>
          <xdr:col>6</xdr:col>
          <xdr:colOff>238125</xdr:colOff>
          <xdr:row>122</xdr:row>
          <xdr:rowOff>66675</xdr:rowOff>
        </xdr:to>
        <xdr:sp macro="" textlink="">
          <xdr:nvSpPr>
            <xdr:cNvPr id="1312" name="Control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D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7</xdr:col>
      <xdr:colOff>0</xdr:colOff>
      <xdr:row>120</xdr:row>
      <xdr:rowOff>0</xdr:rowOff>
    </xdr:from>
    <xdr:to>
      <xdr:col>7</xdr:col>
      <xdr:colOff>228600</xdr:colOff>
      <xdr:row>121</xdr:row>
      <xdr:rowOff>28575</xdr:rowOff>
    </xdr:to>
    <xdr:pic>
      <xdr:nvPicPr>
        <xdr:cNvPr id="1193" name="Picture 1192" descr="Quick Selec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A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4725" y="30775275"/>
          <a:ext cx="228600" cy="228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sarieddine@dctabudhabi.ae" TargetMode="External"/><Relationship Id="rId18" Type="http://schemas.openxmlformats.org/officeDocument/2006/relationships/hyperlink" Target="mailto:mssairaj@dctabudhabi.ae" TargetMode="External"/><Relationship Id="rId26" Type="http://schemas.openxmlformats.org/officeDocument/2006/relationships/hyperlink" Target="mailto:m.alharmoodi@dctabudhabi.ae/snasri@dctabudhabi.ae" TargetMode="External"/><Relationship Id="rId39" Type="http://schemas.openxmlformats.org/officeDocument/2006/relationships/hyperlink" Target="mailto:ZNinic@dctabudhabi.ae" TargetMode="External"/><Relationship Id="rId21" Type="http://schemas.openxmlformats.org/officeDocument/2006/relationships/hyperlink" Target="mailto:EFattah@dctabudhabi.ae" TargetMode="External"/><Relationship Id="rId34" Type="http://schemas.openxmlformats.org/officeDocument/2006/relationships/hyperlink" Target="mailto:MRhaiem@dctabudhabi.ae" TargetMode="External"/><Relationship Id="rId42" Type="http://schemas.openxmlformats.org/officeDocument/2006/relationships/hyperlink" Target="mailto:HYRabah@dctabudhabi.ae" TargetMode="External"/><Relationship Id="rId7" Type="http://schemas.openxmlformats.org/officeDocument/2006/relationships/hyperlink" Target="mailto:nsarieddine@dctabudhabi.ae" TargetMode="External"/><Relationship Id="rId2" Type="http://schemas.openxmlformats.org/officeDocument/2006/relationships/hyperlink" Target="mailto:mssairaj@dctabudhabi.ae" TargetMode="External"/><Relationship Id="rId16" Type="http://schemas.openxmlformats.org/officeDocument/2006/relationships/hyperlink" Target="mailto:nsarieddine@dctabudhabi.ae" TargetMode="External"/><Relationship Id="rId29" Type="http://schemas.openxmlformats.org/officeDocument/2006/relationships/hyperlink" Target="mailto:AAjlouni@alc.ae" TargetMode="External"/><Relationship Id="rId1" Type="http://schemas.openxmlformats.org/officeDocument/2006/relationships/hyperlink" Target="mailto:nsarieddine@dctabudhabi.ae" TargetMode="External"/><Relationship Id="rId6" Type="http://schemas.openxmlformats.org/officeDocument/2006/relationships/hyperlink" Target="mailto:mssairaj@dctabudhabi.ae" TargetMode="External"/><Relationship Id="rId11" Type="http://schemas.openxmlformats.org/officeDocument/2006/relationships/hyperlink" Target="mailto:nsarieddine@dctabudhabi.ae" TargetMode="External"/><Relationship Id="rId24" Type="http://schemas.openxmlformats.org/officeDocument/2006/relationships/hyperlink" Target="mailto:EFattah@dctabudhabi.ae" TargetMode="External"/><Relationship Id="rId32" Type="http://schemas.openxmlformats.org/officeDocument/2006/relationships/hyperlink" Target="mailto:MOsman@dctabudhabi.ae%20," TargetMode="External"/><Relationship Id="rId37" Type="http://schemas.openxmlformats.org/officeDocument/2006/relationships/hyperlink" Target="mailto:MEzzeldin@dctabudhabi.ae" TargetMode="External"/><Relationship Id="rId40" Type="http://schemas.openxmlformats.org/officeDocument/2006/relationships/hyperlink" Target="mailto:ALankapurage@dctabudhabi.ae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mailto:nsarieddine@dctabudhabi.ae" TargetMode="External"/><Relationship Id="rId15" Type="http://schemas.openxmlformats.org/officeDocument/2006/relationships/hyperlink" Target="mailto:nsarieddine@dctabudhabi.ae" TargetMode="External"/><Relationship Id="rId23" Type="http://schemas.openxmlformats.org/officeDocument/2006/relationships/hyperlink" Target="mailto:EFattah@dctabudhabi.ae" TargetMode="External"/><Relationship Id="rId28" Type="http://schemas.openxmlformats.org/officeDocument/2006/relationships/hyperlink" Target="mailto:ASnobar@alc.ae" TargetMode="External"/><Relationship Id="rId36" Type="http://schemas.openxmlformats.org/officeDocument/2006/relationships/hyperlink" Target="mailto:AbSBlooshi@dctabudhabi.ae" TargetMode="External"/><Relationship Id="rId10" Type="http://schemas.openxmlformats.org/officeDocument/2006/relationships/hyperlink" Target="mailto:wzanah@dctabudhabi.ae" TargetMode="External"/><Relationship Id="rId19" Type="http://schemas.openxmlformats.org/officeDocument/2006/relationships/hyperlink" Target="mailto:mssairaj@dctabudhabi.ae" TargetMode="External"/><Relationship Id="rId31" Type="http://schemas.openxmlformats.org/officeDocument/2006/relationships/hyperlink" Target="mailto:MBadi@dctabudhabi.ae" TargetMode="External"/><Relationship Id="rId44" Type="http://schemas.openxmlformats.org/officeDocument/2006/relationships/hyperlink" Target="mailto:MSSairaj@dctabudhabi.ae" TargetMode="External"/><Relationship Id="rId4" Type="http://schemas.openxmlformats.org/officeDocument/2006/relationships/hyperlink" Target="mailto:nsarieddine@dctabudhabi.ae" TargetMode="External"/><Relationship Id="rId9" Type="http://schemas.openxmlformats.org/officeDocument/2006/relationships/hyperlink" Target="mailto:wzanah@dctabudhabi.ae" TargetMode="External"/><Relationship Id="rId14" Type="http://schemas.openxmlformats.org/officeDocument/2006/relationships/hyperlink" Target="mailto:nsarieddine@dctabudhabi.ae" TargetMode="External"/><Relationship Id="rId22" Type="http://schemas.openxmlformats.org/officeDocument/2006/relationships/hyperlink" Target="mailto:EFattah@dctabudhabi.ae" TargetMode="External"/><Relationship Id="rId27" Type="http://schemas.openxmlformats.org/officeDocument/2006/relationships/hyperlink" Target="mailto:SSaadi@alc.ae" TargetMode="External"/><Relationship Id="rId30" Type="http://schemas.openxmlformats.org/officeDocument/2006/relationships/hyperlink" Target="mailto:EHaddad@dctabudhabi.ae" TargetMode="External"/><Relationship Id="rId35" Type="http://schemas.openxmlformats.org/officeDocument/2006/relationships/hyperlink" Target="mailto:AMHumaid@dctabudhabi.ae,EHashim@dctabudhabi.ae%20,YElHassan@dctabudhabi.ae" TargetMode="External"/><Relationship Id="rId43" Type="http://schemas.openxmlformats.org/officeDocument/2006/relationships/hyperlink" Target="mailto:MMuller@dctabudhabi.ae,RFranchi@dctabudhabi.ae,BKattan@dctabudhabi.ae" TargetMode="External"/><Relationship Id="rId8" Type="http://schemas.openxmlformats.org/officeDocument/2006/relationships/hyperlink" Target="mailto:okhan@dctabudhabi.ae" TargetMode="External"/><Relationship Id="rId3" Type="http://schemas.openxmlformats.org/officeDocument/2006/relationships/hyperlink" Target="mailto:nsarieddine@dctabudhabi.ae" TargetMode="External"/><Relationship Id="rId12" Type="http://schemas.openxmlformats.org/officeDocument/2006/relationships/hyperlink" Target="mailto:nsarieddine@dctabudhabi.ae" TargetMode="External"/><Relationship Id="rId17" Type="http://schemas.openxmlformats.org/officeDocument/2006/relationships/hyperlink" Target="mailto:nsarieddine@dctabudhabi.ae" TargetMode="External"/><Relationship Id="rId25" Type="http://schemas.openxmlformats.org/officeDocument/2006/relationships/hyperlink" Target="mailto:JAwadi@dctabudhabi.ae" TargetMode="External"/><Relationship Id="rId33" Type="http://schemas.openxmlformats.org/officeDocument/2006/relationships/hyperlink" Target="mailto:JMatthews@dctabudhabi.ae%20,LTeneiji@dctabudhabi.ae,RAbdulJabbar@dctabudhabi.ae" TargetMode="External"/><Relationship Id="rId38" Type="http://schemas.openxmlformats.org/officeDocument/2006/relationships/hyperlink" Target="mailto:VGorthy@dctabudhabi.ae%20/" TargetMode="External"/><Relationship Id="rId20" Type="http://schemas.openxmlformats.org/officeDocument/2006/relationships/hyperlink" Target="mailto:DSherif@dctabudhabi.ae%20/" TargetMode="External"/><Relationship Id="rId41" Type="http://schemas.openxmlformats.org/officeDocument/2006/relationships/hyperlink" Target="mailto:FUMohammed@dctabudhabi.a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nalbadrsharif@dctabudhabi.ae" TargetMode="External"/><Relationship Id="rId21" Type="http://schemas.openxmlformats.org/officeDocument/2006/relationships/hyperlink" Target="mailto:EFattah@dctabudhabi.ae" TargetMode="External"/><Relationship Id="rId42" Type="http://schemas.openxmlformats.org/officeDocument/2006/relationships/hyperlink" Target="mailto:yzamzam@alc.ae" TargetMode="External"/><Relationship Id="rId47" Type="http://schemas.openxmlformats.org/officeDocument/2006/relationships/hyperlink" Target="mailto:alnaqbi@alc.ae" TargetMode="External"/><Relationship Id="rId63" Type="http://schemas.openxmlformats.org/officeDocument/2006/relationships/hyperlink" Target="mailto:saly@dctabudhabi.ae" TargetMode="External"/><Relationship Id="rId68" Type="http://schemas.openxmlformats.org/officeDocument/2006/relationships/hyperlink" Target="mailto:mthabet@dctabudhabi.ae/asamaneh@dctabudhabi.ae" TargetMode="External"/><Relationship Id="rId2" Type="http://schemas.openxmlformats.org/officeDocument/2006/relationships/hyperlink" Target="mailto:HYRabah@dctabudhabi.ae" TargetMode="External"/><Relationship Id="rId16" Type="http://schemas.openxmlformats.org/officeDocument/2006/relationships/hyperlink" Target="mailto:ASnobar@alc.ae" TargetMode="External"/><Relationship Id="rId29" Type="http://schemas.openxmlformats.org/officeDocument/2006/relationships/hyperlink" Target="mailto:nalbadrsharif@dctabudhabi.ae" TargetMode="External"/><Relationship Id="rId11" Type="http://schemas.openxmlformats.org/officeDocument/2006/relationships/hyperlink" Target="mailto:JMatthews@dctabudhabi.ae%20,LTeneiji@dctabudhabi.ae,RAbdulJabbar@dctabudhabi.ae" TargetMode="External"/><Relationship Id="rId24" Type="http://schemas.openxmlformats.org/officeDocument/2006/relationships/hyperlink" Target="mailto:DSherif@dctabudhabi.ae%20/" TargetMode="External"/><Relationship Id="rId32" Type="http://schemas.openxmlformats.org/officeDocument/2006/relationships/hyperlink" Target="mailto:nalbadrsharif@dctabudhabi.ae" TargetMode="External"/><Relationship Id="rId37" Type="http://schemas.openxmlformats.org/officeDocument/2006/relationships/hyperlink" Target="mailto:hhamroush@dctabudhabi.ae" TargetMode="External"/><Relationship Id="rId40" Type="http://schemas.openxmlformats.org/officeDocument/2006/relationships/hyperlink" Target="mailto:MAlmessabi@dctabudhabi.ae" TargetMode="External"/><Relationship Id="rId45" Type="http://schemas.openxmlformats.org/officeDocument/2006/relationships/hyperlink" Target="mailto:karin.aghadjanian@alc.ae" TargetMode="External"/><Relationship Id="rId53" Type="http://schemas.openxmlformats.org/officeDocument/2006/relationships/hyperlink" Target="mailto:hkaabi@dctabudhabi.ae" TargetMode="External"/><Relationship Id="rId58" Type="http://schemas.openxmlformats.org/officeDocument/2006/relationships/hyperlink" Target="mailto:AGAmer@dctabudhabi.ae" TargetMode="External"/><Relationship Id="rId66" Type="http://schemas.openxmlformats.org/officeDocument/2006/relationships/hyperlink" Target="mailto:halasad@dctabudhabi.ae" TargetMode="External"/><Relationship Id="rId74" Type="http://schemas.openxmlformats.org/officeDocument/2006/relationships/printerSettings" Target="../printerSettings/printerSettings2.bin"/><Relationship Id="rId5" Type="http://schemas.openxmlformats.org/officeDocument/2006/relationships/hyperlink" Target="mailto:ZNinic@dctabudhabi.ae" TargetMode="External"/><Relationship Id="rId61" Type="http://schemas.openxmlformats.org/officeDocument/2006/relationships/hyperlink" Target="mailto:mgadalla@dctabudhabi.ae" TargetMode="External"/><Relationship Id="rId19" Type="http://schemas.openxmlformats.org/officeDocument/2006/relationships/hyperlink" Target="mailto:JAwadi@dctabudhabi.ae" TargetMode="External"/><Relationship Id="rId14" Type="http://schemas.openxmlformats.org/officeDocument/2006/relationships/hyperlink" Target="mailto:EHaddad@dctabudhabi.ae" TargetMode="External"/><Relationship Id="rId22" Type="http://schemas.openxmlformats.org/officeDocument/2006/relationships/hyperlink" Target="mailto:EFattah@dctabudhabi.ae" TargetMode="External"/><Relationship Id="rId27" Type="http://schemas.openxmlformats.org/officeDocument/2006/relationships/hyperlink" Target="mailto:nalbadrsharif@dctabudhabi.ae" TargetMode="External"/><Relationship Id="rId30" Type="http://schemas.openxmlformats.org/officeDocument/2006/relationships/hyperlink" Target="mailto:nalbadrsharif@dctabudhabi.ae" TargetMode="External"/><Relationship Id="rId35" Type="http://schemas.openxmlformats.org/officeDocument/2006/relationships/hyperlink" Target="mailto:hhamroush@dctabudhabi.ae" TargetMode="External"/><Relationship Id="rId43" Type="http://schemas.openxmlformats.org/officeDocument/2006/relationships/hyperlink" Target="mailto:kalshaikh@alc.ae" TargetMode="External"/><Relationship Id="rId48" Type="http://schemas.openxmlformats.org/officeDocument/2006/relationships/hyperlink" Target="mailto:amazrouei@alc.ae" TargetMode="External"/><Relationship Id="rId56" Type="http://schemas.openxmlformats.org/officeDocument/2006/relationships/hyperlink" Target="mailto:AMHosani@dctabudhabi.ae" TargetMode="External"/><Relationship Id="rId64" Type="http://schemas.openxmlformats.org/officeDocument/2006/relationships/hyperlink" Target="mailto:nsarieddine@dctabudhabi.ae" TargetMode="External"/><Relationship Id="rId69" Type="http://schemas.openxmlformats.org/officeDocument/2006/relationships/hyperlink" Target="mailto:mthabet@dctabudhabi.ae/asamaneh@dctabudhabi.ae" TargetMode="External"/><Relationship Id="rId8" Type="http://schemas.openxmlformats.org/officeDocument/2006/relationships/hyperlink" Target="mailto:AbSBlooshi@dctabudhabi.ae" TargetMode="External"/><Relationship Id="rId51" Type="http://schemas.openxmlformats.org/officeDocument/2006/relationships/hyperlink" Target="mailto:MBadi@dctabudhabi.ae" TargetMode="External"/><Relationship Id="rId72" Type="http://schemas.openxmlformats.org/officeDocument/2006/relationships/hyperlink" Target="mailto:mnabulsi@dctabudhabi.ae/fshraideh@dctabudhabi.ae" TargetMode="External"/><Relationship Id="rId3" Type="http://schemas.openxmlformats.org/officeDocument/2006/relationships/hyperlink" Target="mailto:FUMohammed@dctabudhabi.ae" TargetMode="External"/><Relationship Id="rId12" Type="http://schemas.openxmlformats.org/officeDocument/2006/relationships/hyperlink" Target="mailto:MOsman@dctabudhabi.ae%20," TargetMode="External"/><Relationship Id="rId17" Type="http://schemas.openxmlformats.org/officeDocument/2006/relationships/hyperlink" Target="mailto:SSaadi@alc.ae" TargetMode="External"/><Relationship Id="rId25" Type="http://schemas.openxmlformats.org/officeDocument/2006/relationships/hyperlink" Target="mailto:nalbadrsharif@dctabudhabi.ae" TargetMode="External"/><Relationship Id="rId33" Type="http://schemas.openxmlformats.org/officeDocument/2006/relationships/hyperlink" Target="mailto:nalbadrsharif@dctabudhabi.ae" TargetMode="External"/><Relationship Id="rId38" Type="http://schemas.openxmlformats.org/officeDocument/2006/relationships/hyperlink" Target="mailto:hhamroush@dctabudhabi.ae" TargetMode="External"/><Relationship Id="rId46" Type="http://schemas.openxmlformats.org/officeDocument/2006/relationships/hyperlink" Target="mailto:jdhaheri@alc.ae" TargetMode="External"/><Relationship Id="rId59" Type="http://schemas.openxmlformats.org/officeDocument/2006/relationships/hyperlink" Target="mailto:HAlrumaithi@dctabudhabi.ae" TargetMode="External"/><Relationship Id="rId67" Type="http://schemas.openxmlformats.org/officeDocument/2006/relationships/hyperlink" Target="mailto:mthabet@dctabudhabi.ae/asamaneh@dctabudhabi.ae" TargetMode="External"/><Relationship Id="rId20" Type="http://schemas.openxmlformats.org/officeDocument/2006/relationships/hyperlink" Target="mailto:EFattah@dctabudhabi.ae" TargetMode="External"/><Relationship Id="rId41" Type="http://schemas.openxmlformats.org/officeDocument/2006/relationships/hyperlink" Target="mailto:malzaabi@dctabudhabi.ae" TargetMode="External"/><Relationship Id="rId54" Type="http://schemas.openxmlformats.org/officeDocument/2006/relationships/hyperlink" Target="mailto:Hsudain@dctabudhabi.ae" TargetMode="External"/><Relationship Id="rId62" Type="http://schemas.openxmlformats.org/officeDocument/2006/relationships/hyperlink" Target="mailto:mgadalla@dctabudhabi.ae" TargetMode="External"/><Relationship Id="rId70" Type="http://schemas.openxmlformats.org/officeDocument/2006/relationships/hyperlink" Target="mailto:mthabet@dctabudhabi.ae/asamaneh@dctabudhabi.ae" TargetMode="External"/><Relationship Id="rId1" Type="http://schemas.openxmlformats.org/officeDocument/2006/relationships/hyperlink" Target="mailto:MMuller@dctabudhabi.ae,RFranchi@dctabudhabi.ae,BKattan@dctabudhabi.ae" TargetMode="External"/><Relationship Id="rId6" Type="http://schemas.openxmlformats.org/officeDocument/2006/relationships/hyperlink" Target="mailto:VGorthy@dctabudhabi.ae%20/" TargetMode="External"/><Relationship Id="rId15" Type="http://schemas.openxmlformats.org/officeDocument/2006/relationships/hyperlink" Target="mailto:AAjlouni@alc.ae" TargetMode="External"/><Relationship Id="rId23" Type="http://schemas.openxmlformats.org/officeDocument/2006/relationships/hyperlink" Target="mailto:EFattah@dctabudhabi.ae" TargetMode="External"/><Relationship Id="rId28" Type="http://schemas.openxmlformats.org/officeDocument/2006/relationships/hyperlink" Target="mailto:nalbadrsharif@dctabudhabi.ae" TargetMode="External"/><Relationship Id="rId36" Type="http://schemas.openxmlformats.org/officeDocument/2006/relationships/hyperlink" Target="mailto:hhamroush@dctabudhabi.ae" TargetMode="External"/><Relationship Id="rId49" Type="http://schemas.openxmlformats.org/officeDocument/2006/relationships/hyperlink" Target="mailto:waaeldin@alc.ae" TargetMode="External"/><Relationship Id="rId57" Type="http://schemas.openxmlformats.org/officeDocument/2006/relationships/hyperlink" Target="mailto:KAMarzooqi@dctabudhabi.ae" TargetMode="External"/><Relationship Id="rId10" Type="http://schemas.openxmlformats.org/officeDocument/2006/relationships/hyperlink" Target="mailto:MRhaiem@dctabudhabi.ae" TargetMode="External"/><Relationship Id="rId31" Type="http://schemas.openxmlformats.org/officeDocument/2006/relationships/hyperlink" Target="mailto:nalbadrsharif@dctabudhabi.ae" TargetMode="External"/><Relationship Id="rId44" Type="http://schemas.openxmlformats.org/officeDocument/2006/relationships/hyperlink" Target="mailto:ndiarbakerli@alc.ae" TargetMode="External"/><Relationship Id="rId52" Type="http://schemas.openxmlformats.org/officeDocument/2006/relationships/hyperlink" Target="mailto:salshamsi@dctabudhabi.ae/amhumaid@dctabudhabi.ae" TargetMode="External"/><Relationship Id="rId60" Type="http://schemas.openxmlformats.org/officeDocument/2006/relationships/hyperlink" Target="mailto:AYMohammad@dctabudhabi.ae" TargetMode="External"/><Relationship Id="rId65" Type="http://schemas.openxmlformats.org/officeDocument/2006/relationships/hyperlink" Target="mailto:halasad@dctabudhabi.ae" TargetMode="External"/><Relationship Id="rId73" Type="http://schemas.openxmlformats.org/officeDocument/2006/relationships/hyperlink" Target="mailto:mnabulsi@dctabudhabi.ae/fshraideh@dctabudhabi.ae" TargetMode="External"/><Relationship Id="rId4" Type="http://schemas.openxmlformats.org/officeDocument/2006/relationships/hyperlink" Target="mailto:ALankapurage@dctabudhabi.ae" TargetMode="External"/><Relationship Id="rId9" Type="http://schemas.openxmlformats.org/officeDocument/2006/relationships/hyperlink" Target="mailto:AMHumaid@dctabudhabi.ae,EHashim@dctabudhabi.ae%20,YElHassan@dctabudhabi.ae" TargetMode="External"/><Relationship Id="rId13" Type="http://schemas.openxmlformats.org/officeDocument/2006/relationships/hyperlink" Target="mailto:MBadi@dctabudhabi.ae" TargetMode="External"/><Relationship Id="rId18" Type="http://schemas.openxmlformats.org/officeDocument/2006/relationships/hyperlink" Target="mailto:m.alharmoodi@dctabudhabi.ae/snasri@dctabudhabi.ae" TargetMode="External"/><Relationship Id="rId39" Type="http://schemas.openxmlformats.org/officeDocument/2006/relationships/hyperlink" Target="mailto:mgadalla@dctabudhabi.ae" TargetMode="External"/><Relationship Id="rId34" Type="http://schemas.openxmlformats.org/officeDocument/2006/relationships/hyperlink" Target="mailto:hhamroush@dctabudhabi.ae" TargetMode="External"/><Relationship Id="rId50" Type="http://schemas.openxmlformats.org/officeDocument/2006/relationships/hyperlink" Target="mailto:kmarzooqi@alc.ae,%20hafsa.albusaeedi@alc.ae" TargetMode="External"/><Relationship Id="rId55" Type="http://schemas.openxmlformats.org/officeDocument/2006/relationships/hyperlink" Target="mailto:sawani@dctabudhabi.ae" TargetMode="External"/><Relationship Id="rId7" Type="http://schemas.openxmlformats.org/officeDocument/2006/relationships/hyperlink" Target="mailto:MEzzeldin@dctabudhabi.ae" TargetMode="External"/><Relationship Id="rId71" Type="http://schemas.openxmlformats.org/officeDocument/2006/relationships/hyperlink" Target="mailto:mnabulsi@dctabudhabi.ae/fshraideh@dctabudhabi.ae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bSBlooshi@dctabudhabi.ae" TargetMode="External"/><Relationship Id="rId13" Type="http://schemas.openxmlformats.org/officeDocument/2006/relationships/hyperlink" Target="mailto:MBadi@dctabudhabi.ae" TargetMode="External"/><Relationship Id="rId18" Type="http://schemas.openxmlformats.org/officeDocument/2006/relationships/hyperlink" Target="mailto:m.alharmoodi@dctabudhabi.ae/snasri@dctabudhabi.ae" TargetMode="External"/><Relationship Id="rId3" Type="http://schemas.openxmlformats.org/officeDocument/2006/relationships/hyperlink" Target="mailto:FUMohammed@dctabudhabi.ae" TargetMode="External"/><Relationship Id="rId21" Type="http://schemas.openxmlformats.org/officeDocument/2006/relationships/hyperlink" Target="mailto:EFattah@dctabudhabi.ae" TargetMode="External"/><Relationship Id="rId7" Type="http://schemas.openxmlformats.org/officeDocument/2006/relationships/hyperlink" Target="mailto:MEzzeldin@dctabudhabi.ae" TargetMode="External"/><Relationship Id="rId12" Type="http://schemas.openxmlformats.org/officeDocument/2006/relationships/hyperlink" Target="mailto:MOsman@dctabudhabi.ae%20," TargetMode="External"/><Relationship Id="rId17" Type="http://schemas.openxmlformats.org/officeDocument/2006/relationships/hyperlink" Target="mailto:SSaadi@alc.ae" TargetMode="External"/><Relationship Id="rId25" Type="http://schemas.openxmlformats.org/officeDocument/2006/relationships/printerSettings" Target="../printerSettings/printerSettings3.bin"/><Relationship Id="rId2" Type="http://schemas.openxmlformats.org/officeDocument/2006/relationships/hyperlink" Target="mailto:HYRabah@dctabudhabi.ae" TargetMode="External"/><Relationship Id="rId16" Type="http://schemas.openxmlformats.org/officeDocument/2006/relationships/hyperlink" Target="mailto:ASnobar@alc.ae" TargetMode="External"/><Relationship Id="rId20" Type="http://schemas.openxmlformats.org/officeDocument/2006/relationships/hyperlink" Target="mailto:EFattah@dctabudhabi.ae" TargetMode="External"/><Relationship Id="rId1" Type="http://schemas.openxmlformats.org/officeDocument/2006/relationships/hyperlink" Target="mailto:MMuller@dctabudhabi.ae,RFranchi@dctabudhabi.ae,BKattan@dctabudhabi.ae" TargetMode="External"/><Relationship Id="rId6" Type="http://schemas.openxmlformats.org/officeDocument/2006/relationships/hyperlink" Target="mailto:VGorthy@dctabudhabi.ae%20/" TargetMode="External"/><Relationship Id="rId11" Type="http://schemas.openxmlformats.org/officeDocument/2006/relationships/hyperlink" Target="mailto:JMatthews@dctabudhabi.ae%20,LTeneiji@dctabudhabi.ae,RAbdulJabbar@dctabudhabi.ae" TargetMode="External"/><Relationship Id="rId24" Type="http://schemas.openxmlformats.org/officeDocument/2006/relationships/hyperlink" Target="mailto:DSherif@dctabudhabi.ae%20/" TargetMode="External"/><Relationship Id="rId5" Type="http://schemas.openxmlformats.org/officeDocument/2006/relationships/hyperlink" Target="mailto:ZNinic@dctabudhabi.ae" TargetMode="External"/><Relationship Id="rId15" Type="http://schemas.openxmlformats.org/officeDocument/2006/relationships/hyperlink" Target="mailto:AAjlouni@alc.ae" TargetMode="External"/><Relationship Id="rId23" Type="http://schemas.openxmlformats.org/officeDocument/2006/relationships/hyperlink" Target="mailto:EFattah@dctabudhabi.ae" TargetMode="External"/><Relationship Id="rId10" Type="http://schemas.openxmlformats.org/officeDocument/2006/relationships/hyperlink" Target="mailto:MRhaiem@dctabudhabi.ae" TargetMode="External"/><Relationship Id="rId19" Type="http://schemas.openxmlformats.org/officeDocument/2006/relationships/hyperlink" Target="mailto:JAwadi@dctabudhabi.ae" TargetMode="External"/><Relationship Id="rId4" Type="http://schemas.openxmlformats.org/officeDocument/2006/relationships/hyperlink" Target="mailto:ALankapurage@dctabudhabi.ae" TargetMode="External"/><Relationship Id="rId9" Type="http://schemas.openxmlformats.org/officeDocument/2006/relationships/hyperlink" Target="mailto:AMHumaid@dctabudhabi.ae,EHashim@dctabudhabi.ae%20,YElHassan@dctabudhabi.ae" TargetMode="External"/><Relationship Id="rId14" Type="http://schemas.openxmlformats.org/officeDocument/2006/relationships/hyperlink" Target="mailto:EHaddad@dctabudhabi.ae" TargetMode="External"/><Relationship Id="rId22" Type="http://schemas.openxmlformats.org/officeDocument/2006/relationships/hyperlink" Target="mailto:EFattah@dctabudhabi.ae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3.xml"/><Relationship Id="rId21" Type="http://schemas.openxmlformats.org/officeDocument/2006/relationships/control" Target="../activeX/activeX17.xml"/><Relationship Id="rId42" Type="http://schemas.openxmlformats.org/officeDocument/2006/relationships/control" Target="../activeX/activeX38.xml"/><Relationship Id="rId63" Type="http://schemas.openxmlformats.org/officeDocument/2006/relationships/control" Target="../activeX/activeX59.xml"/><Relationship Id="rId84" Type="http://schemas.openxmlformats.org/officeDocument/2006/relationships/control" Target="../activeX/activeX80.xml"/><Relationship Id="rId138" Type="http://schemas.openxmlformats.org/officeDocument/2006/relationships/control" Target="../activeX/activeX134.xml"/><Relationship Id="rId107" Type="http://schemas.openxmlformats.org/officeDocument/2006/relationships/control" Target="../activeX/activeX103.xml"/><Relationship Id="rId11" Type="http://schemas.openxmlformats.org/officeDocument/2006/relationships/control" Target="../activeX/activeX7.xml"/><Relationship Id="rId32" Type="http://schemas.openxmlformats.org/officeDocument/2006/relationships/control" Target="../activeX/activeX28.xml"/><Relationship Id="rId37" Type="http://schemas.openxmlformats.org/officeDocument/2006/relationships/control" Target="../activeX/activeX33.xml"/><Relationship Id="rId53" Type="http://schemas.openxmlformats.org/officeDocument/2006/relationships/control" Target="../activeX/activeX49.xml"/><Relationship Id="rId58" Type="http://schemas.openxmlformats.org/officeDocument/2006/relationships/control" Target="../activeX/activeX54.xml"/><Relationship Id="rId74" Type="http://schemas.openxmlformats.org/officeDocument/2006/relationships/control" Target="../activeX/activeX70.xml"/><Relationship Id="rId79" Type="http://schemas.openxmlformats.org/officeDocument/2006/relationships/control" Target="../activeX/activeX75.xml"/><Relationship Id="rId102" Type="http://schemas.openxmlformats.org/officeDocument/2006/relationships/control" Target="../activeX/activeX98.xml"/><Relationship Id="rId123" Type="http://schemas.openxmlformats.org/officeDocument/2006/relationships/control" Target="../activeX/activeX119.xml"/><Relationship Id="rId128" Type="http://schemas.openxmlformats.org/officeDocument/2006/relationships/control" Target="../activeX/activeX124.xml"/><Relationship Id="rId5" Type="http://schemas.openxmlformats.org/officeDocument/2006/relationships/image" Target="../media/image1.emf"/><Relationship Id="rId90" Type="http://schemas.openxmlformats.org/officeDocument/2006/relationships/control" Target="../activeX/activeX86.xml"/><Relationship Id="rId95" Type="http://schemas.openxmlformats.org/officeDocument/2006/relationships/control" Target="../activeX/activeX91.xml"/><Relationship Id="rId22" Type="http://schemas.openxmlformats.org/officeDocument/2006/relationships/control" Target="../activeX/activeX18.xml"/><Relationship Id="rId27" Type="http://schemas.openxmlformats.org/officeDocument/2006/relationships/control" Target="../activeX/activeX23.xml"/><Relationship Id="rId43" Type="http://schemas.openxmlformats.org/officeDocument/2006/relationships/control" Target="../activeX/activeX39.xml"/><Relationship Id="rId48" Type="http://schemas.openxmlformats.org/officeDocument/2006/relationships/control" Target="../activeX/activeX44.xml"/><Relationship Id="rId64" Type="http://schemas.openxmlformats.org/officeDocument/2006/relationships/control" Target="../activeX/activeX60.xml"/><Relationship Id="rId69" Type="http://schemas.openxmlformats.org/officeDocument/2006/relationships/control" Target="../activeX/activeX65.xml"/><Relationship Id="rId113" Type="http://schemas.openxmlformats.org/officeDocument/2006/relationships/control" Target="../activeX/activeX109.xml"/><Relationship Id="rId118" Type="http://schemas.openxmlformats.org/officeDocument/2006/relationships/control" Target="../activeX/activeX114.xml"/><Relationship Id="rId134" Type="http://schemas.openxmlformats.org/officeDocument/2006/relationships/control" Target="../activeX/activeX130.xml"/><Relationship Id="rId139" Type="http://schemas.openxmlformats.org/officeDocument/2006/relationships/control" Target="../activeX/activeX135.xml"/><Relationship Id="rId80" Type="http://schemas.openxmlformats.org/officeDocument/2006/relationships/control" Target="../activeX/activeX76.xml"/><Relationship Id="rId85" Type="http://schemas.openxmlformats.org/officeDocument/2006/relationships/control" Target="../activeX/activeX81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33" Type="http://schemas.openxmlformats.org/officeDocument/2006/relationships/control" Target="../activeX/activeX29.xml"/><Relationship Id="rId38" Type="http://schemas.openxmlformats.org/officeDocument/2006/relationships/control" Target="../activeX/activeX34.xml"/><Relationship Id="rId59" Type="http://schemas.openxmlformats.org/officeDocument/2006/relationships/control" Target="../activeX/activeX55.xml"/><Relationship Id="rId103" Type="http://schemas.openxmlformats.org/officeDocument/2006/relationships/control" Target="../activeX/activeX99.xml"/><Relationship Id="rId108" Type="http://schemas.openxmlformats.org/officeDocument/2006/relationships/control" Target="../activeX/activeX104.xml"/><Relationship Id="rId124" Type="http://schemas.openxmlformats.org/officeDocument/2006/relationships/control" Target="../activeX/activeX120.xml"/><Relationship Id="rId129" Type="http://schemas.openxmlformats.org/officeDocument/2006/relationships/control" Target="../activeX/activeX125.xml"/><Relationship Id="rId54" Type="http://schemas.openxmlformats.org/officeDocument/2006/relationships/control" Target="../activeX/activeX50.xml"/><Relationship Id="rId70" Type="http://schemas.openxmlformats.org/officeDocument/2006/relationships/control" Target="../activeX/activeX66.xml"/><Relationship Id="rId75" Type="http://schemas.openxmlformats.org/officeDocument/2006/relationships/control" Target="../activeX/activeX71.xml"/><Relationship Id="rId91" Type="http://schemas.openxmlformats.org/officeDocument/2006/relationships/control" Target="../activeX/activeX87.xml"/><Relationship Id="rId96" Type="http://schemas.openxmlformats.org/officeDocument/2006/relationships/control" Target="../activeX/activeX92.xml"/><Relationship Id="rId140" Type="http://schemas.openxmlformats.org/officeDocument/2006/relationships/control" Target="../activeX/activeX136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2.xml"/><Relationship Id="rId23" Type="http://schemas.openxmlformats.org/officeDocument/2006/relationships/control" Target="../activeX/activeX19.xml"/><Relationship Id="rId28" Type="http://schemas.openxmlformats.org/officeDocument/2006/relationships/control" Target="../activeX/activeX24.xml"/><Relationship Id="rId49" Type="http://schemas.openxmlformats.org/officeDocument/2006/relationships/control" Target="../activeX/activeX45.xml"/><Relationship Id="rId114" Type="http://schemas.openxmlformats.org/officeDocument/2006/relationships/control" Target="../activeX/activeX110.xml"/><Relationship Id="rId119" Type="http://schemas.openxmlformats.org/officeDocument/2006/relationships/control" Target="../activeX/activeX115.xml"/><Relationship Id="rId44" Type="http://schemas.openxmlformats.org/officeDocument/2006/relationships/control" Target="../activeX/activeX40.xml"/><Relationship Id="rId60" Type="http://schemas.openxmlformats.org/officeDocument/2006/relationships/control" Target="../activeX/activeX56.xml"/><Relationship Id="rId65" Type="http://schemas.openxmlformats.org/officeDocument/2006/relationships/control" Target="../activeX/activeX61.xml"/><Relationship Id="rId81" Type="http://schemas.openxmlformats.org/officeDocument/2006/relationships/control" Target="../activeX/activeX77.xml"/><Relationship Id="rId86" Type="http://schemas.openxmlformats.org/officeDocument/2006/relationships/control" Target="../activeX/activeX82.xml"/><Relationship Id="rId130" Type="http://schemas.openxmlformats.org/officeDocument/2006/relationships/control" Target="../activeX/activeX126.xml"/><Relationship Id="rId135" Type="http://schemas.openxmlformats.org/officeDocument/2006/relationships/control" Target="../activeX/activeX131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9" Type="http://schemas.openxmlformats.org/officeDocument/2006/relationships/control" Target="../activeX/activeX35.xml"/><Relationship Id="rId109" Type="http://schemas.openxmlformats.org/officeDocument/2006/relationships/control" Target="../activeX/activeX105.xml"/><Relationship Id="rId34" Type="http://schemas.openxmlformats.org/officeDocument/2006/relationships/control" Target="../activeX/activeX30.xml"/><Relationship Id="rId50" Type="http://schemas.openxmlformats.org/officeDocument/2006/relationships/control" Target="../activeX/activeX46.xml"/><Relationship Id="rId55" Type="http://schemas.openxmlformats.org/officeDocument/2006/relationships/control" Target="../activeX/activeX51.xml"/><Relationship Id="rId76" Type="http://schemas.openxmlformats.org/officeDocument/2006/relationships/control" Target="../activeX/activeX72.xml"/><Relationship Id="rId97" Type="http://schemas.openxmlformats.org/officeDocument/2006/relationships/control" Target="../activeX/activeX93.xml"/><Relationship Id="rId104" Type="http://schemas.openxmlformats.org/officeDocument/2006/relationships/control" Target="../activeX/activeX100.xml"/><Relationship Id="rId120" Type="http://schemas.openxmlformats.org/officeDocument/2006/relationships/control" Target="../activeX/activeX116.xml"/><Relationship Id="rId125" Type="http://schemas.openxmlformats.org/officeDocument/2006/relationships/control" Target="../activeX/activeX121.xml"/><Relationship Id="rId141" Type="http://schemas.openxmlformats.org/officeDocument/2006/relationships/control" Target="../activeX/activeX137.xml"/><Relationship Id="rId7" Type="http://schemas.openxmlformats.org/officeDocument/2006/relationships/control" Target="../activeX/activeX3.xml"/><Relationship Id="rId71" Type="http://schemas.openxmlformats.org/officeDocument/2006/relationships/control" Target="../activeX/activeX67.xml"/><Relationship Id="rId92" Type="http://schemas.openxmlformats.org/officeDocument/2006/relationships/control" Target="../activeX/activeX88.xml"/><Relationship Id="rId2" Type="http://schemas.openxmlformats.org/officeDocument/2006/relationships/drawing" Target="../drawings/drawing3.xml"/><Relationship Id="rId29" Type="http://schemas.openxmlformats.org/officeDocument/2006/relationships/control" Target="../activeX/activeX25.xml"/><Relationship Id="rId24" Type="http://schemas.openxmlformats.org/officeDocument/2006/relationships/control" Target="../activeX/activeX20.xml"/><Relationship Id="rId40" Type="http://schemas.openxmlformats.org/officeDocument/2006/relationships/control" Target="../activeX/activeX36.xml"/><Relationship Id="rId45" Type="http://schemas.openxmlformats.org/officeDocument/2006/relationships/control" Target="../activeX/activeX41.xml"/><Relationship Id="rId66" Type="http://schemas.openxmlformats.org/officeDocument/2006/relationships/control" Target="../activeX/activeX62.xml"/><Relationship Id="rId87" Type="http://schemas.openxmlformats.org/officeDocument/2006/relationships/control" Target="../activeX/activeX83.xml"/><Relationship Id="rId110" Type="http://schemas.openxmlformats.org/officeDocument/2006/relationships/control" Target="../activeX/activeX106.xml"/><Relationship Id="rId115" Type="http://schemas.openxmlformats.org/officeDocument/2006/relationships/control" Target="../activeX/activeX111.xml"/><Relationship Id="rId131" Type="http://schemas.openxmlformats.org/officeDocument/2006/relationships/control" Target="../activeX/activeX127.xml"/><Relationship Id="rId136" Type="http://schemas.openxmlformats.org/officeDocument/2006/relationships/control" Target="../activeX/activeX132.xml"/><Relationship Id="rId61" Type="http://schemas.openxmlformats.org/officeDocument/2006/relationships/control" Target="../activeX/activeX57.xml"/><Relationship Id="rId82" Type="http://schemas.openxmlformats.org/officeDocument/2006/relationships/control" Target="../activeX/activeX78.xml"/><Relationship Id="rId19" Type="http://schemas.openxmlformats.org/officeDocument/2006/relationships/control" Target="../activeX/activeX15.xml"/><Relationship Id="rId14" Type="http://schemas.openxmlformats.org/officeDocument/2006/relationships/control" Target="../activeX/activeX10.xml"/><Relationship Id="rId30" Type="http://schemas.openxmlformats.org/officeDocument/2006/relationships/control" Target="../activeX/activeX26.xml"/><Relationship Id="rId35" Type="http://schemas.openxmlformats.org/officeDocument/2006/relationships/control" Target="../activeX/activeX31.xml"/><Relationship Id="rId56" Type="http://schemas.openxmlformats.org/officeDocument/2006/relationships/control" Target="../activeX/activeX52.xml"/><Relationship Id="rId77" Type="http://schemas.openxmlformats.org/officeDocument/2006/relationships/control" Target="../activeX/activeX73.xml"/><Relationship Id="rId100" Type="http://schemas.openxmlformats.org/officeDocument/2006/relationships/control" Target="../activeX/activeX96.xml"/><Relationship Id="rId105" Type="http://schemas.openxmlformats.org/officeDocument/2006/relationships/control" Target="../activeX/activeX101.xml"/><Relationship Id="rId126" Type="http://schemas.openxmlformats.org/officeDocument/2006/relationships/control" Target="../activeX/activeX122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7.xml"/><Relationship Id="rId72" Type="http://schemas.openxmlformats.org/officeDocument/2006/relationships/control" Target="../activeX/activeX68.xml"/><Relationship Id="rId93" Type="http://schemas.openxmlformats.org/officeDocument/2006/relationships/control" Target="../activeX/activeX89.xml"/><Relationship Id="rId98" Type="http://schemas.openxmlformats.org/officeDocument/2006/relationships/control" Target="../activeX/activeX94.xml"/><Relationship Id="rId121" Type="http://schemas.openxmlformats.org/officeDocument/2006/relationships/control" Target="../activeX/activeX117.xml"/><Relationship Id="rId142" Type="http://schemas.openxmlformats.org/officeDocument/2006/relationships/image" Target="../media/image2.emf"/><Relationship Id="rId3" Type="http://schemas.openxmlformats.org/officeDocument/2006/relationships/vmlDrawing" Target="../drawings/vmlDrawing1.vml"/><Relationship Id="rId25" Type="http://schemas.openxmlformats.org/officeDocument/2006/relationships/control" Target="../activeX/activeX21.xml"/><Relationship Id="rId46" Type="http://schemas.openxmlformats.org/officeDocument/2006/relationships/control" Target="../activeX/activeX42.xml"/><Relationship Id="rId67" Type="http://schemas.openxmlformats.org/officeDocument/2006/relationships/control" Target="../activeX/activeX63.xml"/><Relationship Id="rId116" Type="http://schemas.openxmlformats.org/officeDocument/2006/relationships/control" Target="../activeX/activeX112.xml"/><Relationship Id="rId137" Type="http://schemas.openxmlformats.org/officeDocument/2006/relationships/control" Target="../activeX/activeX133.xml"/><Relationship Id="rId20" Type="http://schemas.openxmlformats.org/officeDocument/2006/relationships/control" Target="../activeX/activeX16.xml"/><Relationship Id="rId41" Type="http://schemas.openxmlformats.org/officeDocument/2006/relationships/control" Target="../activeX/activeX37.xml"/><Relationship Id="rId62" Type="http://schemas.openxmlformats.org/officeDocument/2006/relationships/control" Target="../activeX/activeX58.xml"/><Relationship Id="rId83" Type="http://schemas.openxmlformats.org/officeDocument/2006/relationships/control" Target="../activeX/activeX79.xml"/><Relationship Id="rId88" Type="http://schemas.openxmlformats.org/officeDocument/2006/relationships/control" Target="../activeX/activeX84.xml"/><Relationship Id="rId111" Type="http://schemas.openxmlformats.org/officeDocument/2006/relationships/control" Target="../activeX/activeX107.xml"/><Relationship Id="rId132" Type="http://schemas.openxmlformats.org/officeDocument/2006/relationships/control" Target="../activeX/activeX128.xml"/><Relationship Id="rId15" Type="http://schemas.openxmlformats.org/officeDocument/2006/relationships/control" Target="../activeX/activeX11.xml"/><Relationship Id="rId36" Type="http://schemas.openxmlformats.org/officeDocument/2006/relationships/control" Target="../activeX/activeX32.xml"/><Relationship Id="rId57" Type="http://schemas.openxmlformats.org/officeDocument/2006/relationships/control" Target="../activeX/activeX53.xml"/><Relationship Id="rId106" Type="http://schemas.openxmlformats.org/officeDocument/2006/relationships/control" Target="../activeX/activeX102.xml"/><Relationship Id="rId127" Type="http://schemas.openxmlformats.org/officeDocument/2006/relationships/control" Target="../activeX/activeX123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7.xml"/><Relationship Id="rId52" Type="http://schemas.openxmlformats.org/officeDocument/2006/relationships/control" Target="../activeX/activeX48.xml"/><Relationship Id="rId73" Type="http://schemas.openxmlformats.org/officeDocument/2006/relationships/control" Target="../activeX/activeX69.xml"/><Relationship Id="rId78" Type="http://schemas.openxmlformats.org/officeDocument/2006/relationships/control" Target="../activeX/activeX74.xml"/><Relationship Id="rId94" Type="http://schemas.openxmlformats.org/officeDocument/2006/relationships/control" Target="../activeX/activeX90.xml"/><Relationship Id="rId99" Type="http://schemas.openxmlformats.org/officeDocument/2006/relationships/control" Target="../activeX/activeX95.xml"/><Relationship Id="rId101" Type="http://schemas.openxmlformats.org/officeDocument/2006/relationships/control" Target="../activeX/activeX97.xml"/><Relationship Id="rId122" Type="http://schemas.openxmlformats.org/officeDocument/2006/relationships/control" Target="../activeX/activeX118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26" Type="http://schemas.openxmlformats.org/officeDocument/2006/relationships/control" Target="../activeX/activeX22.xml"/><Relationship Id="rId47" Type="http://schemas.openxmlformats.org/officeDocument/2006/relationships/control" Target="../activeX/activeX43.xml"/><Relationship Id="rId68" Type="http://schemas.openxmlformats.org/officeDocument/2006/relationships/control" Target="../activeX/activeX64.xml"/><Relationship Id="rId89" Type="http://schemas.openxmlformats.org/officeDocument/2006/relationships/control" Target="../activeX/activeX85.xml"/><Relationship Id="rId112" Type="http://schemas.openxmlformats.org/officeDocument/2006/relationships/control" Target="../activeX/activeX108.xml"/><Relationship Id="rId133" Type="http://schemas.openxmlformats.org/officeDocument/2006/relationships/control" Target="../activeX/activeX129.xml"/><Relationship Id="rId16" Type="http://schemas.openxmlformats.org/officeDocument/2006/relationships/control" Target="../activeX/activeX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N51"/>
  <sheetViews>
    <sheetView showGridLines="0" zoomScale="85" zoomScaleNormal="85" workbookViewId="0">
      <pane ySplit="1" topLeftCell="A2" activePane="bottomLeft" state="frozen"/>
      <selection pane="bottomLeft" activeCell="B15" sqref="B15:E15"/>
    </sheetView>
  </sheetViews>
  <sheetFormatPr defaultRowHeight="15" x14ac:dyDescent="0.25"/>
  <cols>
    <col min="2" max="2" width="33.85546875" style="1" bestFit="1" customWidth="1"/>
    <col min="3" max="3" width="45.140625" style="1" bestFit="1" customWidth="1"/>
    <col min="4" max="4" width="17.5703125" style="1" bestFit="1" customWidth="1"/>
    <col min="5" max="5" width="22.5703125" bestFit="1" customWidth="1"/>
    <col min="6" max="6" width="26.140625" bestFit="1" customWidth="1"/>
    <col min="7" max="7" width="22" style="1" bestFit="1" customWidth="1"/>
    <col min="8" max="8" width="26.42578125" bestFit="1" customWidth="1"/>
    <col min="9" max="9" width="50.42578125" style="17" bestFit="1" customWidth="1"/>
    <col min="10" max="10" width="19.42578125" bestFit="1" customWidth="1"/>
    <col min="11" max="11" width="32.42578125" bestFit="1" customWidth="1"/>
    <col min="12" max="12" width="151.5703125" style="17" bestFit="1" customWidth="1"/>
    <col min="13" max="13" width="53.85546875" customWidth="1"/>
    <col min="14" max="14" width="15.5703125" style="1" bestFit="1" customWidth="1"/>
  </cols>
  <sheetData>
    <row r="1" spans="2:14" s="1" customFormat="1" ht="18.75" x14ac:dyDescent="0.25">
      <c r="B1" s="19" t="s">
        <v>0</v>
      </c>
      <c r="C1" s="19" t="s">
        <v>1</v>
      </c>
      <c r="D1" s="19" t="s">
        <v>2</v>
      </c>
      <c r="E1" s="46" t="s">
        <v>3</v>
      </c>
      <c r="F1" s="46" t="s">
        <v>4</v>
      </c>
      <c r="G1" s="19" t="s">
        <v>5</v>
      </c>
      <c r="H1" s="19" t="s">
        <v>4</v>
      </c>
      <c r="I1" s="19" t="s">
        <v>6</v>
      </c>
      <c r="J1" s="19" t="s">
        <v>7</v>
      </c>
      <c r="K1" s="19" t="s">
        <v>8</v>
      </c>
      <c r="L1" s="43" t="s">
        <v>9</v>
      </c>
      <c r="M1" s="19" t="s">
        <v>10</v>
      </c>
      <c r="N1" s="19" t="s">
        <v>11</v>
      </c>
    </row>
    <row r="2" spans="2:14" ht="14.85" customHeight="1" x14ac:dyDescent="0.25">
      <c r="B2" s="20" t="s">
        <v>12</v>
      </c>
      <c r="C2" s="20" t="s">
        <v>13</v>
      </c>
      <c r="D2" s="21">
        <v>4510195</v>
      </c>
      <c r="E2" s="23" t="s">
        <v>14</v>
      </c>
      <c r="F2" s="23" t="s">
        <v>15</v>
      </c>
      <c r="G2" s="22" t="s">
        <v>16</v>
      </c>
      <c r="H2" s="20" t="s">
        <v>17</v>
      </c>
      <c r="I2" s="20" t="s">
        <v>18</v>
      </c>
      <c r="J2" s="25" t="s">
        <v>19</v>
      </c>
      <c r="K2" s="20" t="s">
        <v>20</v>
      </c>
      <c r="L2" s="31" t="s">
        <v>21</v>
      </c>
      <c r="M2" s="31" t="s">
        <v>22</v>
      </c>
      <c r="N2" s="20" t="s">
        <v>23</v>
      </c>
    </row>
    <row r="3" spans="2:14" x14ac:dyDescent="0.25">
      <c r="B3" s="18" t="s">
        <v>12</v>
      </c>
      <c r="C3" s="18" t="s">
        <v>24</v>
      </c>
      <c r="D3" s="18">
        <v>4519196</v>
      </c>
      <c r="E3" s="18" t="s">
        <v>14</v>
      </c>
      <c r="F3" s="18" t="s">
        <v>15</v>
      </c>
      <c r="G3" s="29" t="s">
        <v>16</v>
      </c>
      <c r="H3" s="26" t="s">
        <v>17</v>
      </c>
      <c r="I3" s="18" t="s">
        <v>24</v>
      </c>
      <c r="J3" s="18" t="s">
        <v>19</v>
      </c>
      <c r="K3" s="18" t="s">
        <v>25</v>
      </c>
      <c r="L3" s="44" t="s">
        <v>26</v>
      </c>
      <c r="M3" s="44" t="s">
        <v>27</v>
      </c>
      <c r="N3" s="18" t="s">
        <v>28</v>
      </c>
    </row>
    <row r="4" spans="2:14" x14ac:dyDescent="0.25">
      <c r="B4" s="18" t="s">
        <v>12</v>
      </c>
      <c r="C4" s="18" t="s">
        <v>29</v>
      </c>
      <c r="D4" s="18">
        <v>4519197</v>
      </c>
      <c r="E4" s="18" t="s">
        <v>14</v>
      </c>
      <c r="F4" s="18" t="s">
        <v>15</v>
      </c>
      <c r="G4" s="29" t="s">
        <v>16</v>
      </c>
      <c r="H4" s="26" t="s">
        <v>17</v>
      </c>
      <c r="I4" s="18" t="s">
        <v>29</v>
      </c>
      <c r="J4" s="18" t="s">
        <v>19</v>
      </c>
      <c r="K4" s="18" t="s">
        <v>30</v>
      </c>
      <c r="L4" s="44" t="s">
        <v>31</v>
      </c>
      <c r="M4" s="44" t="s">
        <v>32</v>
      </c>
      <c r="N4" s="18" t="s">
        <v>28</v>
      </c>
    </row>
    <row r="5" spans="2:14" x14ac:dyDescent="0.25">
      <c r="B5" s="18" t="s">
        <v>12</v>
      </c>
      <c r="C5" s="18" t="s">
        <v>33</v>
      </c>
      <c r="D5" s="18">
        <v>4519199</v>
      </c>
      <c r="E5" s="18" t="s">
        <v>14</v>
      </c>
      <c r="F5" s="18" t="s">
        <v>15</v>
      </c>
      <c r="G5" s="29" t="s">
        <v>16</v>
      </c>
      <c r="H5" s="26" t="s">
        <v>17</v>
      </c>
      <c r="I5" s="18" t="s">
        <v>33</v>
      </c>
      <c r="J5" s="18" t="s">
        <v>19</v>
      </c>
      <c r="K5" s="18" t="s">
        <v>34</v>
      </c>
      <c r="L5" s="44" t="s">
        <v>35</v>
      </c>
      <c r="M5" s="48" t="s">
        <v>36</v>
      </c>
      <c r="N5" s="18" t="s">
        <v>28</v>
      </c>
    </row>
    <row r="6" spans="2:14" x14ac:dyDescent="0.25">
      <c r="B6" s="18" t="s">
        <v>12</v>
      </c>
      <c r="C6" s="18" t="s">
        <v>37</v>
      </c>
      <c r="D6" s="18">
        <v>4519200</v>
      </c>
      <c r="E6" s="18" t="s">
        <v>14</v>
      </c>
      <c r="F6" s="18" t="s">
        <v>15</v>
      </c>
      <c r="G6" s="29" t="s">
        <v>16</v>
      </c>
      <c r="H6" s="26" t="s">
        <v>17</v>
      </c>
      <c r="I6" s="18" t="s">
        <v>37</v>
      </c>
      <c r="J6" s="18" t="s">
        <v>19</v>
      </c>
      <c r="K6" s="18" t="s">
        <v>38</v>
      </c>
      <c r="L6" s="44" t="s">
        <v>39</v>
      </c>
      <c r="M6" s="44" t="s">
        <v>40</v>
      </c>
      <c r="N6" s="18" t="s">
        <v>28</v>
      </c>
    </row>
    <row r="7" spans="2:14" x14ac:dyDescent="0.25">
      <c r="B7" s="18" t="s">
        <v>12</v>
      </c>
      <c r="C7" s="18" t="s">
        <v>41</v>
      </c>
      <c r="D7" s="18">
        <v>4519201</v>
      </c>
      <c r="E7" s="18" t="s">
        <v>14</v>
      </c>
      <c r="F7" s="18" t="s">
        <v>15</v>
      </c>
      <c r="G7" s="18" t="s">
        <v>16</v>
      </c>
      <c r="H7" s="18" t="s">
        <v>17</v>
      </c>
      <c r="I7" s="18" t="s">
        <v>41</v>
      </c>
      <c r="J7" s="18" t="s">
        <v>19</v>
      </c>
      <c r="K7" s="18" t="s">
        <v>42</v>
      </c>
      <c r="L7" s="44" t="s">
        <v>43</v>
      </c>
      <c r="M7" s="48" t="s">
        <v>44</v>
      </c>
      <c r="N7" s="18" t="s">
        <v>28</v>
      </c>
    </row>
    <row r="8" spans="2:14" x14ac:dyDescent="0.25">
      <c r="B8" s="18" t="s">
        <v>12</v>
      </c>
      <c r="C8" s="18" t="s">
        <v>45</v>
      </c>
      <c r="D8" s="18">
        <v>4519202</v>
      </c>
      <c r="E8" s="18" t="s">
        <v>14</v>
      </c>
      <c r="F8" s="18" t="s">
        <v>15</v>
      </c>
      <c r="G8" s="18" t="s">
        <v>16</v>
      </c>
      <c r="H8" s="18" t="s">
        <v>17</v>
      </c>
      <c r="I8" s="18" t="s">
        <v>45</v>
      </c>
      <c r="J8" s="18" t="s">
        <v>19</v>
      </c>
      <c r="K8" s="18" t="s">
        <v>46</v>
      </c>
      <c r="L8" s="44" t="s">
        <v>47</v>
      </c>
      <c r="M8" s="48" t="s">
        <v>48</v>
      </c>
      <c r="N8" s="18" t="s">
        <v>28</v>
      </c>
    </row>
    <row r="9" spans="2:14" x14ac:dyDescent="0.25">
      <c r="B9" s="18" t="s">
        <v>12</v>
      </c>
      <c r="C9" s="18" t="s">
        <v>49</v>
      </c>
      <c r="D9" s="18">
        <v>4519203</v>
      </c>
      <c r="E9" s="33" t="s">
        <v>14</v>
      </c>
      <c r="F9" s="33" t="s">
        <v>15</v>
      </c>
      <c r="G9" s="29" t="s">
        <v>16</v>
      </c>
      <c r="H9" s="26" t="s">
        <v>17</v>
      </c>
      <c r="I9" s="18" t="s">
        <v>49</v>
      </c>
      <c r="J9" s="18" t="s">
        <v>19</v>
      </c>
      <c r="K9" s="18" t="s">
        <v>50</v>
      </c>
      <c r="L9" s="44" t="s">
        <v>51</v>
      </c>
      <c r="M9" s="48" t="s">
        <v>52</v>
      </c>
      <c r="N9" s="18" t="s">
        <v>28</v>
      </c>
    </row>
    <row r="10" spans="2:14" x14ac:dyDescent="0.25">
      <c r="B10" s="20" t="s">
        <v>53</v>
      </c>
      <c r="C10" s="20" t="s">
        <v>54</v>
      </c>
      <c r="D10" s="21">
        <v>4518113</v>
      </c>
      <c r="E10" s="23" t="s">
        <v>55</v>
      </c>
      <c r="F10" s="23" t="s">
        <v>56</v>
      </c>
      <c r="G10" s="22" t="s">
        <v>19</v>
      </c>
      <c r="H10" s="20" t="s">
        <v>57</v>
      </c>
      <c r="I10" s="20" t="s">
        <v>58</v>
      </c>
      <c r="J10" s="25" t="s">
        <v>19</v>
      </c>
      <c r="K10" s="20" t="s">
        <v>59</v>
      </c>
      <c r="L10" s="31" t="s">
        <v>60</v>
      </c>
      <c r="M10" s="37" t="s">
        <v>61</v>
      </c>
      <c r="N10" s="20" t="s">
        <v>23</v>
      </c>
    </row>
    <row r="11" spans="2:14" x14ac:dyDescent="0.25">
      <c r="B11" s="20" t="s">
        <v>62</v>
      </c>
      <c r="C11" s="20" t="s">
        <v>63</v>
      </c>
      <c r="D11" s="21">
        <v>4511300</v>
      </c>
      <c r="E11" s="23" t="s">
        <v>64</v>
      </c>
      <c r="F11" s="23" t="s">
        <v>65</v>
      </c>
      <c r="G11" s="22" t="s">
        <v>19</v>
      </c>
      <c r="H11" s="20" t="s">
        <v>57</v>
      </c>
      <c r="I11" s="20" t="s">
        <v>66</v>
      </c>
      <c r="J11" s="25" t="s">
        <v>19</v>
      </c>
      <c r="K11" s="20" t="s">
        <v>67</v>
      </c>
      <c r="L11" s="31" t="s">
        <v>68</v>
      </c>
      <c r="M11" s="37" t="s">
        <v>69</v>
      </c>
      <c r="N11" s="20" t="s">
        <v>23</v>
      </c>
    </row>
    <row r="12" spans="2:14" x14ac:dyDescent="0.25">
      <c r="B12" s="20" t="s">
        <v>62</v>
      </c>
      <c r="C12" s="20" t="s">
        <v>70</v>
      </c>
      <c r="D12" s="21">
        <v>4511600</v>
      </c>
      <c r="E12" s="23" t="s">
        <v>64</v>
      </c>
      <c r="F12" s="23" t="s">
        <v>65</v>
      </c>
      <c r="G12" s="22" t="s">
        <v>19</v>
      </c>
      <c r="H12" s="20" t="s">
        <v>57</v>
      </c>
      <c r="I12" s="20" t="s">
        <v>71</v>
      </c>
      <c r="J12" s="25" t="s">
        <v>19</v>
      </c>
      <c r="K12" s="20" t="s">
        <v>72</v>
      </c>
      <c r="L12" s="31" t="s">
        <v>73</v>
      </c>
      <c r="M12" s="37" t="s">
        <v>74</v>
      </c>
      <c r="N12" s="20" t="s">
        <v>23</v>
      </c>
    </row>
    <row r="13" spans="2:14" x14ac:dyDescent="0.25">
      <c r="B13" s="20" t="s">
        <v>62</v>
      </c>
      <c r="C13" s="20" t="s">
        <v>75</v>
      </c>
      <c r="D13" s="21">
        <v>4516100</v>
      </c>
      <c r="E13" s="23" t="s">
        <v>64</v>
      </c>
      <c r="F13" s="23" t="s">
        <v>65</v>
      </c>
      <c r="G13" s="22" t="s">
        <v>19</v>
      </c>
      <c r="H13" s="20" t="s">
        <v>57</v>
      </c>
      <c r="I13" s="20" t="s">
        <v>76</v>
      </c>
      <c r="J13" s="25" t="s">
        <v>19</v>
      </c>
      <c r="K13" s="20" t="s">
        <v>77</v>
      </c>
      <c r="L13" s="31" t="s">
        <v>78</v>
      </c>
      <c r="M13" s="37" t="s">
        <v>79</v>
      </c>
      <c r="N13" s="20" t="s">
        <v>23</v>
      </c>
    </row>
    <row r="14" spans="2:14" x14ac:dyDescent="0.25">
      <c r="B14" s="20" t="s">
        <v>62</v>
      </c>
      <c r="C14" s="20" t="s">
        <v>80</v>
      </c>
      <c r="D14" s="21">
        <v>4511010</v>
      </c>
      <c r="E14" s="23" t="s">
        <v>64</v>
      </c>
      <c r="F14" s="23" t="s">
        <v>65</v>
      </c>
      <c r="G14" s="22" t="s">
        <v>19</v>
      </c>
      <c r="H14" s="20" t="s">
        <v>57</v>
      </c>
      <c r="I14" s="20" t="s">
        <v>81</v>
      </c>
      <c r="J14" s="25" t="s">
        <v>19</v>
      </c>
      <c r="K14" s="20" t="s">
        <v>82</v>
      </c>
      <c r="L14" s="31" t="s">
        <v>83</v>
      </c>
      <c r="M14" s="37" t="s">
        <v>84</v>
      </c>
      <c r="N14" s="20" t="s">
        <v>23</v>
      </c>
    </row>
    <row r="15" spans="2:14" x14ac:dyDescent="0.25">
      <c r="B15" s="20" t="s">
        <v>62</v>
      </c>
      <c r="C15" s="20" t="s">
        <v>85</v>
      </c>
      <c r="D15" s="21">
        <v>4511011</v>
      </c>
      <c r="E15" s="23" t="s">
        <v>86</v>
      </c>
      <c r="F15" s="23" t="s">
        <v>87</v>
      </c>
      <c r="G15" s="22" t="s">
        <v>19</v>
      </c>
      <c r="H15" s="20" t="s">
        <v>57</v>
      </c>
      <c r="I15" s="20" t="s">
        <v>85</v>
      </c>
      <c r="J15" s="25" t="s">
        <v>19</v>
      </c>
      <c r="K15" s="20" t="s">
        <v>88</v>
      </c>
      <c r="L15" s="31" t="s">
        <v>89</v>
      </c>
      <c r="M15" s="31" t="s">
        <v>90</v>
      </c>
      <c r="N15" s="20" t="s">
        <v>23</v>
      </c>
    </row>
    <row r="16" spans="2:14" x14ac:dyDescent="0.25">
      <c r="B16" s="20" t="s">
        <v>62</v>
      </c>
      <c r="C16" s="20" t="s">
        <v>91</v>
      </c>
      <c r="D16" s="21">
        <v>4511150</v>
      </c>
      <c r="E16" s="23" t="s">
        <v>64</v>
      </c>
      <c r="F16" s="23" t="s">
        <v>65</v>
      </c>
      <c r="G16" s="22" t="s">
        <v>19</v>
      </c>
      <c r="H16" s="20" t="s">
        <v>57</v>
      </c>
      <c r="I16" s="20" t="s">
        <v>92</v>
      </c>
      <c r="J16" s="25" t="s">
        <v>19</v>
      </c>
      <c r="K16" s="20" t="s">
        <v>82</v>
      </c>
      <c r="L16" s="31" t="s">
        <v>93</v>
      </c>
      <c r="M16" s="37" t="s">
        <v>94</v>
      </c>
      <c r="N16" s="20" t="s">
        <v>23</v>
      </c>
    </row>
    <row r="17" spans="2:14" ht="30" x14ac:dyDescent="0.25">
      <c r="B17" s="20" t="s">
        <v>62</v>
      </c>
      <c r="C17" s="20" t="s">
        <v>95</v>
      </c>
      <c r="D17" s="21">
        <v>4511250</v>
      </c>
      <c r="E17" s="24" t="s">
        <v>96</v>
      </c>
      <c r="F17" s="24" t="s">
        <v>97</v>
      </c>
      <c r="G17" s="22" t="s">
        <v>98</v>
      </c>
      <c r="H17" s="20" t="s">
        <v>99</v>
      </c>
      <c r="I17" s="20" t="s">
        <v>100</v>
      </c>
      <c r="J17" s="25" t="s">
        <v>19</v>
      </c>
      <c r="K17" s="20" t="s">
        <v>101</v>
      </c>
      <c r="L17" s="31" t="s">
        <v>102</v>
      </c>
      <c r="M17" s="37" t="s">
        <v>103</v>
      </c>
      <c r="N17" s="20" t="s">
        <v>23</v>
      </c>
    </row>
    <row r="18" spans="2:14" x14ac:dyDescent="0.25">
      <c r="B18" s="20" t="s">
        <v>62</v>
      </c>
      <c r="C18" s="20" t="s">
        <v>104</v>
      </c>
      <c r="D18" s="21">
        <v>4511550</v>
      </c>
      <c r="E18" s="23" t="s">
        <v>86</v>
      </c>
      <c r="F18" s="23" t="s">
        <v>87</v>
      </c>
      <c r="G18" s="22" t="s">
        <v>98</v>
      </c>
      <c r="H18" s="20" t="s">
        <v>99</v>
      </c>
      <c r="I18" s="20" t="s">
        <v>105</v>
      </c>
      <c r="J18" s="25" t="s">
        <v>19</v>
      </c>
      <c r="K18" s="20" t="s">
        <v>106</v>
      </c>
      <c r="L18" s="31" t="s">
        <v>107</v>
      </c>
      <c r="M18" s="37" t="s">
        <v>108</v>
      </c>
      <c r="N18" s="20" t="s">
        <v>23</v>
      </c>
    </row>
    <row r="19" spans="2:14" x14ac:dyDescent="0.25">
      <c r="B19" s="20" t="s">
        <v>62</v>
      </c>
      <c r="C19" s="20" t="s">
        <v>109</v>
      </c>
      <c r="D19" s="21">
        <v>4511700</v>
      </c>
      <c r="E19" s="23" t="s">
        <v>86</v>
      </c>
      <c r="F19" s="23" t="s">
        <v>87</v>
      </c>
      <c r="G19" s="22" t="s">
        <v>98</v>
      </c>
      <c r="H19" s="20" t="s">
        <v>99</v>
      </c>
      <c r="I19" s="20" t="s">
        <v>110</v>
      </c>
      <c r="J19" s="25" t="s">
        <v>19</v>
      </c>
      <c r="K19" s="20" t="s">
        <v>88</v>
      </c>
      <c r="L19" s="31" t="s">
        <v>111</v>
      </c>
      <c r="M19" s="37" t="s">
        <v>112</v>
      </c>
      <c r="N19" s="20" t="s">
        <v>23</v>
      </c>
    </row>
    <row r="20" spans="2:14" x14ac:dyDescent="0.25">
      <c r="B20" s="20" t="s">
        <v>62</v>
      </c>
      <c r="C20" s="20" t="s">
        <v>113</v>
      </c>
      <c r="D20" s="21">
        <v>4511750</v>
      </c>
      <c r="E20" s="23" t="s">
        <v>86</v>
      </c>
      <c r="F20" s="23" t="s">
        <v>87</v>
      </c>
      <c r="G20" s="22" t="s">
        <v>98</v>
      </c>
      <c r="H20" s="20" t="s">
        <v>99</v>
      </c>
      <c r="I20" s="20" t="s">
        <v>113</v>
      </c>
      <c r="J20" s="25" t="s">
        <v>19</v>
      </c>
      <c r="K20" s="42" t="s">
        <v>114</v>
      </c>
      <c r="L20" s="31" t="s">
        <v>115</v>
      </c>
      <c r="M20" s="37" t="s">
        <v>116</v>
      </c>
      <c r="N20" s="20" t="s">
        <v>23</v>
      </c>
    </row>
    <row r="21" spans="2:14" x14ac:dyDescent="0.25">
      <c r="B21" s="20" t="s">
        <v>62</v>
      </c>
      <c r="C21" s="20" t="s">
        <v>117</v>
      </c>
      <c r="D21" s="21">
        <v>4511800</v>
      </c>
      <c r="E21" s="23" t="s">
        <v>86</v>
      </c>
      <c r="F21" s="23" t="s">
        <v>87</v>
      </c>
      <c r="G21" s="22" t="s">
        <v>98</v>
      </c>
      <c r="H21" s="20" t="s">
        <v>99</v>
      </c>
      <c r="I21" s="20" t="s">
        <v>117</v>
      </c>
      <c r="J21" s="25" t="s">
        <v>19</v>
      </c>
      <c r="K21" s="20" t="s">
        <v>118</v>
      </c>
      <c r="L21" s="31" t="s">
        <v>119</v>
      </c>
      <c r="M21" s="37" t="s">
        <v>120</v>
      </c>
      <c r="N21" s="20" t="s">
        <v>23</v>
      </c>
    </row>
    <row r="22" spans="2:14" x14ac:dyDescent="0.25">
      <c r="B22" s="23" t="s">
        <v>121</v>
      </c>
      <c r="C22" s="23" t="s">
        <v>122</v>
      </c>
      <c r="D22" s="23">
        <v>4510110</v>
      </c>
      <c r="E22" s="28" t="s">
        <v>55</v>
      </c>
      <c r="F22" s="28" t="s">
        <v>56</v>
      </c>
      <c r="G22" s="23" t="s">
        <v>16</v>
      </c>
      <c r="H22" s="23" t="s">
        <v>17</v>
      </c>
      <c r="I22" s="23" t="s">
        <v>123</v>
      </c>
      <c r="J22" s="30" t="s">
        <v>19</v>
      </c>
      <c r="K22" s="23" t="s">
        <v>124</v>
      </c>
      <c r="L22" s="32"/>
      <c r="M22" s="32"/>
      <c r="N22" s="23" t="s">
        <v>23</v>
      </c>
    </row>
    <row r="23" spans="2:14" x14ac:dyDescent="0.25">
      <c r="B23" s="20" t="s">
        <v>121</v>
      </c>
      <c r="C23" s="20" t="s">
        <v>125</v>
      </c>
      <c r="D23" s="21">
        <v>4510140</v>
      </c>
      <c r="E23" s="23" t="s">
        <v>55</v>
      </c>
      <c r="F23" s="23" t="s">
        <v>56</v>
      </c>
      <c r="G23" s="22" t="s">
        <v>16</v>
      </c>
      <c r="H23" s="20" t="s">
        <v>17</v>
      </c>
      <c r="I23" s="20" t="s">
        <v>126</v>
      </c>
      <c r="J23" s="25" t="s">
        <v>19</v>
      </c>
      <c r="K23" s="20" t="s">
        <v>127</v>
      </c>
      <c r="L23" s="31" t="s">
        <v>128</v>
      </c>
      <c r="M23" s="31" t="s">
        <v>129</v>
      </c>
      <c r="N23" s="20" t="s">
        <v>23</v>
      </c>
    </row>
    <row r="24" spans="2:14" x14ac:dyDescent="0.25">
      <c r="B24" s="20" t="s">
        <v>121</v>
      </c>
      <c r="C24" s="20" t="s">
        <v>130</v>
      </c>
      <c r="D24" s="21">
        <v>4510150</v>
      </c>
      <c r="E24" s="23" t="s">
        <v>55</v>
      </c>
      <c r="F24" s="23" t="s">
        <v>56</v>
      </c>
      <c r="G24" s="22" t="s">
        <v>16</v>
      </c>
      <c r="H24" s="20" t="s">
        <v>17</v>
      </c>
      <c r="I24" s="20" t="s">
        <v>131</v>
      </c>
      <c r="J24" s="25" t="s">
        <v>19</v>
      </c>
      <c r="K24" s="20" t="s">
        <v>132</v>
      </c>
      <c r="L24" s="31" t="s">
        <v>133</v>
      </c>
      <c r="M24" s="31" t="s">
        <v>134</v>
      </c>
      <c r="N24" s="20" t="s">
        <v>23</v>
      </c>
    </row>
    <row r="25" spans="2:14" x14ac:dyDescent="0.25">
      <c r="B25" s="20" t="s">
        <v>121</v>
      </c>
      <c r="C25" s="20" t="s">
        <v>135</v>
      </c>
      <c r="D25" s="21">
        <v>4510155</v>
      </c>
      <c r="E25" s="23" t="s">
        <v>55</v>
      </c>
      <c r="F25" s="23" t="s">
        <v>56</v>
      </c>
      <c r="G25" s="22" t="s">
        <v>16</v>
      </c>
      <c r="H25" s="20" t="s">
        <v>17</v>
      </c>
      <c r="I25" s="20" t="s">
        <v>136</v>
      </c>
      <c r="J25" s="25" t="s">
        <v>19</v>
      </c>
      <c r="K25" s="20" t="s">
        <v>137</v>
      </c>
      <c r="L25" s="31" t="s">
        <v>138</v>
      </c>
      <c r="M25" s="31" t="s">
        <v>139</v>
      </c>
      <c r="N25" s="20" t="s">
        <v>23</v>
      </c>
    </row>
    <row r="26" spans="2:14" x14ac:dyDescent="0.25">
      <c r="B26" s="20" t="s">
        <v>121</v>
      </c>
      <c r="C26" s="20" t="s">
        <v>140</v>
      </c>
      <c r="D26" s="21">
        <v>4510160</v>
      </c>
      <c r="E26" s="23" t="s">
        <v>55</v>
      </c>
      <c r="F26" s="23" t="s">
        <v>56</v>
      </c>
      <c r="G26" s="22" t="s">
        <v>16</v>
      </c>
      <c r="H26" s="20" t="s">
        <v>17</v>
      </c>
      <c r="I26" s="20" t="s">
        <v>141</v>
      </c>
      <c r="J26" s="25" t="s">
        <v>19</v>
      </c>
      <c r="K26" s="20" t="s">
        <v>142</v>
      </c>
      <c r="L26" s="31" t="s">
        <v>143</v>
      </c>
      <c r="M26" s="31" t="s">
        <v>144</v>
      </c>
      <c r="N26" s="20" t="s">
        <v>23</v>
      </c>
    </row>
    <row r="27" spans="2:14" x14ac:dyDescent="0.25">
      <c r="B27" s="26" t="s">
        <v>121</v>
      </c>
      <c r="C27" s="26" t="s">
        <v>145</v>
      </c>
      <c r="D27" s="27">
        <v>4510011</v>
      </c>
      <c r="E27" s="18" t="s">
        <v>55</v>
      </c>
      <c r="F27" s="18" t="s">
        <v>56</v>
      </c>
      <c r="G27" s="29" t="s">
        <v>16</v>
      </c>
      <c r="H27" s="26" t="s">
        <v>17</v>
      </c>
      <c r="I27" s="26" t="s">
        <v>145</v>
      </c>
      <c r="J27" s="26" t="s">
        <v>19</v>
      </c>
      <c r="K27" s="26"/>
      <c r="L27" s="34"/>
      <c r="M27" s="34"/>
      <c r="N27" s="26" t="s">
        <v>28</v>
      </c>
    </row>
    <row r="28" spans="2:14" ht="30" x14ac:dyDescent="0.25">
      <c r="B28" s="20" t="s">
        <v>146</v>
      </c>
      <c r="C28" s="20" t="s">
        <v>147</v>
      </c>
      <c r="D28" s="21">
        <v>4512010</v>
      </c>
      <c r="E28" s="23" t="s">
        <v>55</v>
      </c>
      <c r="F28" s="23" t="s">
        <v>56</v>
      </c>
      <c r="G28" s="22" t="s">
        <v>148</v>
      </c>
      <c r="H28" s="31" t="s">
        <v>149</v>
      </c>
      <c r="I28" s="31" t="s">
        <v>150</v>
      </c>
      <c r="J28" s="36" t="s">
        <v>151</v>
      </c>
      <c r="K28" s="31" t="s">
        <v>152</v>
      </c>
      <c r="L28" s="38" t="s">
        <v>153</v>
      </c>
      <c r="M28" s="38" t="s">
        <v>154</v>
      </c>
      <c r="N28" s="20" t="s">
        <v>23</v>
      </c>
    </row>
    <row r="29" spans="2:14" ht="30" x14ac:dyDescent="0.25">
      <c r="B29" s="23" t="s">
        <v>146</v>
      </c>
      <c r="C29" s="23" t="s">
        <v>155</v>
      </c>
      <c r="D29" s="23">
        <v>4512100</v>
      </c>
      <c r="E29" s="28" t="s">
        <v>55</v>
      </c>
      <c r="F29" s="28" t="s">
        <v>56</v>
      </c>
      <c r="G29" s="22" t="s">
        <v>148</v>
      </c>
      <c r="H29" s="31" t="s">
        <v>149</v>
      </c>
      <c r="I29" s="32" t="s">
        <v>156</v>
      </c>
      <c r="J29" s="36" t="s">
        <v>151</v>
      </c>
      <c r="K29" s="32" t="s">
        <v>157</v>
      </c>
      <c r="L29" s="38" t="s">
        <v>153</v>
      </c>
      <c r="M29" s="38" t="s">
        <v>154</v>
      </c>
      <c r="N29" s="23" t="s">
        <v>23</v>
      </c>
    </row>
    <row r="30" spans="2:14" ht="30" x14ac:dyDescent="0.25">
      <c r="B30" s="20" t="s">
        <v>146</v>
      </c>
      <c r="C30" s="20" t="s">
        <v>158</v>
      </c>
      <c r="D30" s="21">
        <v>4512200</v>
      </c>
      <c r="E30" s="23" t="s">
        <v>55</v>
      </c>
      <c r="F30" s="23" t="s">
        <v>56</v>
      </c>
      <c r="G30" s="22" t="s">
        <v>148</v>
      </c>
      <c r="H30" s="31" t="s">
        <v>149</v>
      </c>
      <c r="I30" s="31" t="s">
        <v>159</v>
      </c>
      <c r="J30" s="36" t="s">
        <v>151</v>
      </c>
      <c r="K30" s="31" t="s">
        <v>160</v>
      </c>
      <c r="L30" s="38" t="s">
        <v>153</v>
      </c>
      <c r="M30" s="38" t="s">
        <v>154</v>
      </c>
      <c r="N30" s="20" t="s">
        <v>23</v>
      </c>
    </row>
    <row r="31" spans="2:14" ht="30" x14ac:dyDescent="0.25">
      <c r="B31" s="20" t="s">
        <v>146</v>
      </c>
      <c r="C31" s="20" t="s">
        <v>161</v>
      </c>
      <c r="D31" s="21">
        <v>4512300</v>
      </c>
      <c r="E31" s="23" t="s">
        <v>55</v>
      </c>
      <c r="F31" s="23" t="s">
        <v>56</v>
      </c>
      <c r="G31" s="22" t="s">
        <v>148</v>
      </c>
      <c r="H31" s="31" t="s">
        <v>149</v>
      </c>
      <c r="I31" s="31" t="s">
        <v>162</v>
      </c>
      <c r="J31" s="36" t="s">
        <v>151</v>
      </c>
      <c r="K31" s="31" t="s">
        <v>163</v>
      </c>
      <c r="L31" s="38" t="s">
        <v>153</v>
      </c>
      <c r="M31" s="38" t="s">
        <v>154</v>
      </c>
      <c r="N31" s="20" t="s">
        <v>23</v>
      </c>
    </row>
    <row r="32" spans="2:14" x14ac:dyDescent="0.25">
      <c r="B32" s="20" t="s">
        <v>164</v>
      </c>
      <c r="C32" s="20" t="s">
        <v>165</v>
      </c>
      <c r="D32" s="21">
        <v>4513110</v>
      </c>
      <c r="E32" s="23" t="s">
        <v>166</v>
      </c>
      <c r="F32" s="23" t="s">
        <v>167</v>
      </c>
      <c r="G32" s="22" t="s">
        <v>168</v>
      </c>
      <c r="H32" s="31" t="s">
        <v>169</v>
      </c>
      <c r="I32" s="31" t="s">
        <v>170</v>
      </c>
      <c r="J32" s="36" t="s">
        <v>151</v>
      </c>
      <c r="K32" s="31" t="s">
        <v>171</v>
      </c>
      <c r="L32" s="31" t="s">
        <v>172</v>
      </c>
      <c r="M32" s="37" t="s">
        <v>173</v>
      </c>
      <c r="N32" s="20" t="s">
        <v>23</v>
      </c>
    </row>
    <row r="33" spans="2:14" x14ac:dyDescent="0.25">
      <c r="B33" s="20" t="s">
        <v>164</v>
      </c>
      <c r="C33" s="20" t="s">
        <v>174</v>
      </c>
      <c r="D33" s="21">
        <v>4513120</v>
      </c>
      <c r="E33" s="23" t="s">
        <v>166</v>
      </c>
      <c r="F33" s="23" t="s">
        <v>167</v>
      </c>
      <c r="G33" s="22" t="s">
        <v>168</v>
      </c>
      <c r="H33" s="31" t="s">
        <v>169</v>
      </c>
      <c r="I33" s="20" t="s">
        <v>174</v>
      </c>
      <c r="J33" s="36" t="s">
        <v>151</v>
      </c>
      <c r="K33" s="31" t="s">
        <v>175</v>
      </c>
      <c r="L33" s="31" t="s">
        <v>172</v>
      </c>
      <c r="M33" s="37" t="s">
        <v>173</v>
      </c>
      <c r="N33" s="20" t="s">
        <v>23</v>
      </c>
    </row>
    <row r="34" spans="2:14" x14ac:dyDescent="0.25">
      <c r="B34" s="20" t="s">
        <v>164</v>
      </c>
      <c r="C34" s="20" t="s">
        <v>176</v>
      </c>
      <c r="D34" s="21">
        <v>4513130</v>
      </c>
      <c r="E34" s="23" t="s">
        <v>166</v>
      </c>
      <c r="F34" s="23" t="s">
        <v>167</v>
      </c>
      <c r="G34" s="22" t="s">
        <v>168</v>
      </c>
      <c r="H34" s="31" t="s">
        <v>169</v>
      </c>
      <c r="I34" s="31" t="s">
        <v>177</v>
      </c>
      <c r="J34" s="36" t="s">
        <v>151</v>
      </c>
      <c r="K34" s="31" t="s">
        <v>178</v>
      </c>
      <c r="L34" s="31" t="s">
        <v>172</v>
      </c>
      <c r="M34" s="37" t="s">
        <v>173</v>
      </c>
      <c r="N34" s="20" t="s">
        <v>23</v>
      </c>
    </row>
    <row r="35" spans="2:14" x14ac:dyDescent="0.25">
      <c r="B35" s="20" t="s">
        <v>164</v>
      </c>
      <c r="C35" s="20" t="s">
        <v>179</v>
      </c>
      <c r="D35" s="21">
        <v>4513140</v>
      </c>
      <c r="E35" s="23" t="s">
        <v>166</v>
      </c>
      <c r="F35" s="23" t="s">
        <v>167</v>
      </c>
      <c r="G35" s="22" t="s">
        <v>168</v>
      </c>
      <c r="H35" s="31" t="s">
        <v>169</v>
      </c>
      <c r="I35" s="31" t="s">
        <v>179</v>
      </c>
      <c r="J35" s="36" t="s">
        <v>151</v>
      </c>
      <c r="K35" s="31" t="s">
        <v>180</v>
      </c>
      <c r="L35" s="31" t="s">
        <v>172</v>
      </c>
      <c r="M35" s="37" t="s">
        <v>173</v>
      </c>
      <c r="N35" s="20" t="s">
        <v>23</v>
      </c>
    </row>
    <row r="36" spans="2:14" x14ac:dyDescent="0.25">
      <c r="B36" s="26" t="s">
        <v>164</v>
      </c>
      <c r="C36" s="26" t="s">
        <v>181</v>
      </c>
      <c r="D36" s="27">
        <v>4513111</v>
      </c>
      <c r="E36" s="18" t="s">
        <v>166</v>
      </c>
      <c r="F36" s="18" t="s">
        <v>167</v>
      </c>
      <c r="G36" s="29" t="s">
        <v>168</v>
      </c>
      <c r="H36" s="34" t="s">
        <v>169</v>
      </c>
      <c r="I36" s="34" t="s">
        <v>181</v>
      </c>
      <c r="J36" s="34" t="s">
        <v>151</v>
      </c>
      <c r="K36" s="34" t="s">
        <v>182</v>
      </c>
      <c r="L36" s="34"/>
      <c r="M36" s="34"/>
      <c r="N36" s="26" t="s">
        <v>28</v>
      </c>
    </row>
    <row r="37" spans="2:14" x14ac:dyDescent="0.25">
      <c r="B37" s="20" t="s">
        <v>183</v>
      </c>
      <c r="C37" s="20" t="s">
        <v>184</v>
      </c>
      <c r="D37" s="21">
        <v>4510201</v>
      </c>
      <c r="E37" s="23" t="s">
        <v>14</v>
      </c>
      <c r="F37" s="23" t="s">
        <v>15</v>
      </c>
      <c r="G37" s="22" t="s">
        <v>148</v>
      </c>
      <c r="H37" s="31" t="s">
        <v>149</v>
      </c>
      <c r="I37" s="31" t="s">
        <v>185</v>
      </c>
      <c r="J37" s="36" t="s">
        <v>151</v>
      </c>
      <c r="K37" s="31" t="s">
        <v>186</v>
      </c>
      <c r="L37" s="31" t="s">
        <v>187</v>
      </c>
      <c r="M37" s="31" t="s">
        <v>188</v>
      </c>
      <c r="N37" s="20" t="s">
        <v>23</v>
      </c>
    </row>
    <row r="38" spans="2:14" x14ac:dyDescent="0.25">
      <c r="B38" s="20" t="s">
        <v>183</v>
      </c>
      <c r="C38" s="20" t="s">
        <v>189</v>
      </c>
      <c r="D38" s="21">
        <v>4510210</v>
      </c>
      <c r="E38" s="23" t="s">
        <v>14</v>
      </c>
      <c r="F38" s="23" t="s">
        <v>15</v>
      </c>
      <c r="G38" s="22" t="s">
        <v>148</v>
      </c>
      <c r="H38" s="31" t="s">
        <v>149</v>
      </c>
      <c r="I38" s="31" t="s">
        <v>190</v>
      </c>
      <c r="J38" s="36" t="s">
        <v>151</v>
      </c>
      <c r="K38" s="31" t="s">
        <v>191</v>
      </c>
      <c r="L38" s="31" t="s">
        <v>192</v>
      </c>
      <c r="M38" s="31" t="s">
        <v>193</v>
      </c>
      <c r="N38" s="20" t="s">
        <v>23</v>
      </c>
    </row>
    <row r="39" spans="2:14" x14ac:dyDescent="0.25">
      <c r="B39" s="20" t="s">
        <v>183</v>
      </c>
      <c r="C39" s="20" t="s">
        <v>194</v>
      </c>
      <c r="D39" s="21">
        <v>4510220</v>
      </c>
      <c r="E39" s="23" t="s">
        <v>14</v>
      </c>
      <c r="F39" s="23" t="s">
        <v>15</v>
      </c>
      <c r="G39" s="22" t="s">
        <v>148</v>
      </c>
      <c r="H39" s="31" t="s">
        <v>149</v>
      </c>
      <c r="I39" s="31" t="s">
        <v>195</v>
      </c>
      <c r="J39" s="36" t="s">
        <v>151</v>
      </c>
      <c r="K39" s="31" t="s">
        <v>196</v>
      </c>
      <c r="L39" s="31" t="s">
        <v>197</v>
      </c>
      <c r="M39" s="31" t="s">
        <v>198</v>
      </c>
      <c r="N39" s="20" t="s">
        <v>23</v>
      </c>
    </row>
    <row r="40" spans="2:14" x14ac:dyDescent="0.25">
      <c r="B40" s="20" t="s">
        <v>183</v>
      </c>
      <c r="C40" s="20" t="s">
        <v>199</v>
      </c>
      <c r="D40" s="21">
        <v>4510240</v>
      </c>
      <c r="E40" s="23" t="s">
        <v>14</v>
      </c>
      <c r="F40" s="23" t="s">
        <v>15</v>
      </c>
      <c r="G40" s="22" t="s">
        <v>148</v>
      </c>
      <c r="H40" s="31" t="s">
        <v>149</v>
      </c>
      <c r="I40" s="31" t="s">
        <v>200</v>
      </c>
      <c r="J40" s="36" t="s">
        <v>151</v>
      </c>
      <c r="K40" s="31" t="s">
        <v>201</v>
      </c>
      <c r="L40" s="31" t="s">
        <v>202</v>
      </c>
      <c r="M40" s="31" t="s">
        <v>203</v>
      </c>
      <c r="N40" s="20" t="s">
        <v>23</v>
      </c>
    </row>
    <row r="41" spans="2:14" ht="45" x14ac:dyDescent="0.25">
      <c r="B41" s="20" t="s">
        <v>183</v>
      </c>
      <c r="C41" s="20" t="s">
        <v>204</v>
      </c>
      <c r="D41" s="21">
        <v>4510250</v>
      </c>
      <c r="E41" s="24" t="s">
        <v>205</v>
      </c>
      <c r="F41" s="24" t="s">
        <v>206</v>
      </c>
      <c r="G41" s="22" t="s">
        <v>148</v>
      </c>
      <c r="H41" s="31" t="s">
        <v>149</v>
      </c>
      <c r="I41" s="31" t="s">
        <v>207</v>
      </c>
      <c r="J41" s="36" t="s">
        <v>151</v>
      </c>
      <c r="K41" s="31" t="s">
        <v>208</v>
      </c>
      <c r="L41" s="31" t="s">
        <v>209</v>
      </c>
      <c r="M41" s="31" t="s">
        <v>210</v>
      </c>
      <c r="N41" s="20" t="s">
        <v>23</v>
      </c>
    </row>
    <row r="42" spans="2:14" x14ac:dyDescent="0.25">
      <c r="B42" s="26" t="s">
        <v>183</v>
      </c>
      <c r="C42" s="26" t="s">
        <v>211</v>
      </c>
      <c r="D42" s="27">
        <v>4510230</v>
      </c>
      <c r="E42" s="18" t="s">
        <v>212</v>
      </c>
      <c r="F42" s="18" t="s">
        <v>213</v>
      </c>
      <c r="G42" s="29" t="s">
        <v>148</v>
      </c>
      <c r="H42" s="34" t="s">
        <v>149</v>
      </c>
      <c r="I42" s="34" t="s">
        <v>214</v>
      </c>
      <c r="J42" s="34" t="s">
        <v>151</v>
      </c>
      <c r="K42" s="34" t="s">
        <v>201</v>
      </c>
      <c r="L42" s="34" t="s">
        <v>215</v>
      </c>
      <c r="M42" s="34"/>
      <c r="N42" s="26" t="s">
        <v>28</v>
      </c>
    </row>
    <row r="43" spans="2:14" x14ac:dyDescent="0.25">
      <c r="B43" s="20" t="s">
        <v>216</v>
      </c>
      <c r="C43" s="20" t="s">
        <v>217</v>
      </c>
      <c r="D43" s="21">
        <v>4510170</v>
      </c>
      <c r="E43" s="23" t="s">
        <v>212</v>
      </c>
      <c r="F43" s="23" t="s">
        <v>213</v>
      </c>
      <c r="G43" s="22" t="s">
        <v>218</v>
      </c>
      <c r="H43" s="31" t="s">
        <v>219</v>
      </c>
      <c r="I43" s="31" t="s">
        <v>220</v>
      </c>
      <c r="J43" s="36" t="s">
        <v>151</v>
      </c>
      <c r="K43" s="31" t="s">
        <v>221</v>
      </c>
      <c r="L43" s="38" t="s">
        <v>222</v>
      </c>
      <c r="M43" s="37" t="s">
        <v>223</v>
      </c>
      <c r="N43" s="20" t="s">
        <v>23</v>
      </c>
    </row>
    <row r="44" spans="2:14" x14ac:dyDescent="0.25">
      <c r="B44" s="23" t="s">
        <v>216</v>
      </c>
      <c r="C44" s="23" t="s">
        <v>224</v>
      </c>
      <c r="D44" s="23">
        <v>4515300</v>
      </c>
      <c r="E44" s="23" t="s">
        <v>225</v>
      </c>
      <c r="F44" s="28" t="s">
        <v>213</v>
      </c>
      <c r="G44" s="23" t="s">
        <v>218</v>
      </c>
      <c r="H44" s="32" t="s">
        <v>219</v>
      </c>
      <c r="I44" s="32" t="s">
        <v>226</v>
      </c>
      <c r="J44" s="39" t="s">
        <v>151</v>
      </c>
      <c r="K44" s="32" t="s">
        <v>227</v>
      </c>
      <c r="L44" s="32" t="s">
        <v>228</v>
      </c>
      <c r="M44" s="41" t="s">
        <v>229</v>
      </c>
      <c r="N44" s="23" t="s">
        <v>23</v>
      </c>
    </row>
    <row r="45" spans="2:14" x14ac:dyDescent="0.25">
      <c r="B45" s="20" t="s">
        <v>216</v>
      </c>
      <c r="C45" s="20" t="s">
        <v>230</v>
      </c>
      <c r="D45" s="21">
        <v>4515400</v>
      </c>
      <c r="E45" s="23" t="s">
        <v>231</v>
      </c>
      <c r="F45" s="23" t="s">
        <v>232</v>
      </c>
      <c r="G45" s="22" t="s">
        <v>218</v>
      </c>
      <c r="H45" s="31" t="s">
        <v>219</v>
      </c>
      <c r="I45" s="31" t="s">
        <v>233</v>
      </c>
      <c r="J45" s="36" t="s">
        <v>151</v>
      </c>
      <c r="K45" s="31" t="s">
        <v>234</v>
      </c>
      <c r="L45" s="31" t="s">
        <v>235</v>
      </c>
      <c r="M45" s="37" t="s">
        <v>236</v>
      </c>
      <c r="N45" s="20" t="s">
        <v>23</v>
      </c>
    </row>
    <row r="46" spans="2:14" x14ac:dyDescent="0.25">
      <c r="B46" s="20" t="s">
        <v>216</v>
      </c>
      <c r="C46" s="20" t="s">
        <v>237</v>
      </c>
      <c r="D46" s="21">
        <v>4515500</v>
      </c>
      <c r="E46" s="23" t="s">
        <v>231</v>
      </c>
      <c r="F46" s="23" t="s">
        <v>232</v>
      </c>
      <c r="G46" s="22" t="s">
        <v>238</v>
      </c>
      <c r="H46" s="31" t="s">
        <v>239</v>
      </c>
      <c r="I46" s="31" t="s">
        <v>240</v>
      </c>
      <c r="J46" s="36" t="s">
        <v>151</v>
      </c>
      <c r="K46" s="31" t="s">
        <v>241</v>
      </c>
      <c r="L46" s="31" t="s">
        <v>242</v>
      </c>
      <c r="M46" s="31" t="s">
        <v>243</v>
      </c>
      <c r="N46" s="20" t="s">
        <v>23</v>
      </c>
    </row>
    <row r="47" spans="2:14" x14ac:dyDescent="0.25">
      <c r="B47" s="20" t="s">
        <v>216</v>
      </c>
      <c r="C47" s="20" t="s">
        <v>244</v>
      </c>
      <c r="D47" s="21">
        <v>4515700</v>
      </c>
      <c r="E47" s="23" t="s">
        <v>231</v>
      </c>
      <c r="F47" s="23" t="s">
        <v>232</v>
      </c>
      <c r="G47" s="22" t="s">
        <v>218</v>
      </c>
      <c r="H47" s="31" t="s">
        <v>219</v>
      </c>
      <c r="I47" s="31" t="s">
        <v>245</v>
      </c>
      <c r="J47" s="36" t="s">
        <v>151</v>
      </c>
      <c r="K47" s="31" t="s">
        <v>246</v>
      </c>
      <c r="L47" s="31" t="s">
        <v>247</v>
      </c>
      <c r="M47" s="37" t="s">
        <v>248</v>
      </c>
      <c r="N47" s="20" t="s">
        <v>23</v>
      </c>
    </row>
    <row r="48" spans="2:14" x14ac:dyDescent="0.25">
      <c r="B48" s="20" t="s">
        <v>216</v>
      </c>
      <c r="C48" s="20" t="s">
        <v>249</v>
      </c>
      <c r="D48" s="21">
        <v>4515010</v>
      </c>
      <c r="E48" s="23" t="s">
        <v>231</v>
      </c>
      <c r="F48" s="23" t="s">
        <v>232</v>
      </c>
      <c r="G48" s="22" t="s">
        <v>218</v>
      </c>
      <c r="H48" s="31" t="s">
        <v>219</v>
      </c>
      <c r="I48" s="31" t="s">
        <v>250</v>
      </c>
      <c r="J48" s="36" t="s">
        <v>151</v>
      </c>
      <c r="K48" s="31" t="s">
        <v>251</v>
      </c>
      <c r="L48" s="31" t="s">
        <v>252</v>
      </c>
      <c r="M48" s="37" t="s">
        <v>253</v>
      </c>
      <c r="N48" s="20" t="s">
        <v>23</v>
      </c>
    </row>
    <row r="49" spans="2:14" x14ac:dyDescent="0.25">
      <c r="B49" s="20" t="s">
        <v>216</v>
      </c>
      <c r="C49" s="20" t="s">
        <v>254</v>
      </c>
      <c r="D49" s="45">
        <v>4515100</v>
      </c>
      <c r="E49" s="23" t="s">
        <v>231</v>
      </c>
      <c r="F49" s="23" t="s">
        <v>232</v>
      </c>
      <c r="G49" s="22" t="s">
        <v>168</v>
      </c>
      <c r="H49" s="31" t="s">
        <v>169</v>
      </c>
      <c r="I49" s="31" t="s">
        <v>255</v>
      </c>
      <c r="J49" s="36" t="s">
        <v>151</v>
      </c>
      <c r="K49" s="31" t="s">
        <v>256</v>
      </c>
      <c r="L49" s="31" t="s">
        <v>257</v>
      </c>
      <c r="M49" s="37" t="s">
        <v>258</v>
      </c>
      <c r="N49" s="20" t="s">
        <v>23</v>
      </c>
    </row>
    <row r="50" spans="2:14" x14ac:dyDescent="0.25">
      <c r="B50" s="26" t="s">
        <v>216</v>
      </c>
      <c r="C50" s="26" t="s">
        <v>259</v>
      </c>
      <c r="D50" s="27">
        <v>4515000</v>
      </c>
      <c r="E50" s="18" t="s">
        <v>231</v>
      </c>
      <c r="F50" s="18" t="s">
        <v>232</v>
      </c>
      <c r="G50" s="29" t="s">
        <v>218</v>
      </c>
      <c r="H50" s="34" t="s">
        <v>219</v>
      </c>
      <c r="I50" s="34" t="s">
        <v>259</v>
      </c>
      <c r="J50" s="34" t="s">
        <v>151</v>
      </c>
      <c r="K50" s="34" t="s">
        <v>260</v>
      </c>
      <c r="L50" s="34"/>
      <c r="M50" s="40" t="s">
        <v>261</v>
      </c>
      <c r="N50" s="26" t="s">
        <v>28</v>
      </c>
    </row>
    <row r="51" spans="2:14" x14ac:dyDescent="0.25">
      <c r="B51" s="20" t="s">
        <v>216</v>
      </c>
      <c r="C51" s="20" t="s">
        <v>262</v>
      </c>
      <c r="D51" s="21">
        <v>4515900</v>
      </c>
      <c r="E51" s="23" t="s">
        <v>225</v>
      </c>
      <c r="F51" s="47" t="s">
        <v>263</v>
      </c>
      <c r="G51" s="22" t="s">
        <v>218</v>
      </c>
      <c r="H51" s="32" t="s">
        <v>219</v>
      </c>
      <c r="I51" s="31" t="s">
        <v>262</v>
      </c>
      <c r="J51" s="36" t="s">
        <v>151</v>
      </c>
      <c r="K51" s="31" t="s">
        <v>264</v>
      </c>
      <c r="L51" s="31" t="s">
        <v>265</v>
      </c>
      <c r="M51" s="37" t="s">
        <v>266</v>
      </c>
      <c r="N51" s="20" t="s">
        <v>23</v>
      </c>
    </row>
  </sheetData>
  <autoFilter ref="B1:N51" xr:uid="{00000000-0001-0000-0100-000000000000}"/>
  <sortState xmlns:xlrd2="http://schemas.microsoft.com/office/spreadsheetml/2017/richdata2" ref="C2:K51">
    <sortCondition ref="D2:D51"/>
  </sortState>
  <hyperlinks>
    <hyperlink ref="F37" r:id="rId1" xr:uid="{C12A62C7-7C85-4D2D-89A0-CD0FA8AA91C9}"/>
    <hyperlink ref="F42" r:id="rId2" xr:uid="{B367A7AB-800A-4322-A8D8-03108435CDDA}"/>
    <hyperlink ref="F38" r:id="rId3" xr:uid="{927313FC-B039-4552-BF5B-10D1ABDD2FED}"/>
    <hyperlink ref="F39" r:id="rId4" xr:uid="{41234A46-AD3A-4543-B2BD-0FA3BDAFC285}"/>
    <hyperlink ref="F40" r:id="rId5" xr:uid="{C120406C-BA4C-442B-A2E3-F8F3AF36C892}"/>
    <hyperlink ref="F41" r:id="rId6" display="mssairaj@dctabudhabi.ae" xr:uid="{38EEC0D9-3F3D-45F7-9DB5-29506B79AF74}"/>
    <hyperlink ref="F2" r:id="rId7" xr:uid="{FA209187-3BDB-4838-ACCD-D7E1E0834924}"/>
    <hyperlink ref="F17" r:id="rId8" display="okhan@dctabudhabi.ae_x000a_" xr:uid="{D0869046-5C87-42F5-A179-44EE143C76EB}"/>
    <hyperlink ref="F11" r:id="rId9" xr:uid="{698860C4-A031-4D1F-94C2-AD9E70DD7BF3}"/>
    <hyperlink ref="F13" r:id="rId10" xr:uid="{282878EB-0424-4633-BD56-BBD31D962B44}"/>
    <hyperlink ref="F3" r:id="rId11" xr:uid="{4D63419A-DA3D-4565-B013-EBC4EFDD4252}"/>
    <hyperlink ref="F4" r:id="rId12" xr:uid="{2BABF68A-E540-43C7-A43B-A5FF13CF18BF}"/>
    <hyperlink ref="F5" r:id="rId13" xr:uid="{0D0B7D22-6ED6-4E4E-8F2F-F9FEE0D46F90}"/>
    <hyperlink ref="F6" r:id="rId14" xr:uid="{6F9B0408-B964-41CD-A6E0-062EE7358E27}"/>
    <hyperlink ref="F7" r:id="rId15" xr:uid="{55D98E30-6E70-44A3-9AB0-976CE505539B}"/>
    <hyperlink ref="F8" r:id="rId16" xr:uid="{2549FDC7-4C89-4F8D-9D95-F5488AD0D243}"/>
    <hyperlink ref="F9" r:id="rId17" xr:uid="{83B45765-783A-4A38-8D7D-A9C072D19605}"/>
    <hyperlink ref="F44" r:id="rId18" xr:uid="{D404466E-C01B-4771-B44D-08384E789472}"/>
    <hyperlink ref="F43" r:id="rId19" xr:uid="{B1EA3BC9-E937-471B-85F7-32D212210C09}"/>
    <hyperlink ref="M49" r:id="rId20" display="DSherif@dctabudhabi.ae /" xr:uid="{80B0C82C-D49A-4B37-9C5F-C47E26D1644A}"/>
    <hyperlink ref="M32" r:id="rId21" display="EFattah@dctabudhabi.ae" xr:uid="{21B5DD02-7CC5-4E68-B1EA-856C2E3C34E0}"/>
    <hyperlink ref="M33" r:id="rId22" display="EFattah@dctabudhabi.ae" xr:uid="{62B5C438-9361-4112-AEF0-1CB655A2135A}"/>
    <hyperlink ref="M34" r:id="rId23" display="EFattah@dctabudhabi.ae" xr:uid="{CFB0A53A-F45C-49CD-A71A-D9EC6F121941}"/>
    <hyperlink ref="M35" r:id="rId24" display="EFattah@dctabudhabi.ae" xr:uid="{71A22A16-1341-4335-97D2-ED0894CA3F95}"/>
    <hyperlink ref="M13" r:id="rId25" xr:uid="{B7F8F4CF-CAB3-44B0-9179-0E97FF6D9FB7}"/>
    <hyperlink ref="M11" r:id="rId26" xr:uid="{0BE023AA-253F-4D03-81C9-1F6A7068FE1F}"/>
    <hyperlink ref="M7" r:id="rId27" xr:uid="{D08DCA1C-C318-4621-B1DB-B52D0DC8D161}"/>
    <hyperlink ref="M8" r:id="rId28" xr:uid="{3B6D414D-548C-465C-8E82-67A00F2B6509}"/>
    <hyperlink ref="M9" r:id="rId29" xr:uid="{7ED82741-0D6C-4A0A-B265-C281FF65940E}"/>
    <hyperlink ref="M18" r:id="rId30" xr:uid="{363D3D03-941B-4EFD-98FB-90281AB65A3F}"/>
    <hyperlink ref="M16" r:id="rId31" display="MBadi@dctabudhabi.ae" xr:uid="{3050FB97-54CE-4DE7-B787-8AA97F192A62}"/>
    <hyperlink ref="M20" r:id="rId32" display="MOsman@dctabudhabi.ae , " xr:uid="{271FCEA8-28F0-4056-8FF4-373B84297DEE}"/>
    <hyperlink ref="M21" r:id="rId33" xr:uid="{F70C1677-4CBC-48E7-9BB4-48806C9440B4}"/>
    <hyperlink ref="M14" r:id="rId34" display="MRhaiem@dctabudhabi.ae" xr:uid="{56636826-FD4E-4CEB-85BB-DA1088D9AAC0}"/>
    <hyperlink ref="M17" r:id="rId35" xr:uid="{E3774F9F-A3B0-452B-864C-FCA0FFE4ED85}"/>
    <hyperlink ref="M51" r:id="rId36" xr:uid="{90839333-9B92-401B-A5CD-23C9B5AC130A}"/>
    <hyperlink ref="M50" r:id="rId37" xr:uid="{62BB781D-3DA9-4D96-9421-DD5C45872188}"/>
    <hyperlink ref="M48" r:id="rId38" display="VGorthy@dctabudhabi.ae / " xr:uid="{10C6522C-BF20-455E-B21B-78DA6905DAA2}"/>
    <hyperlink ref="M47" r:id="rId39" xr:uid="{271FA1F8-F987-4CF2-8C9F-B93752A8BC91}"/>
    <hyperlink ref="M45" r:id="rId40" display="ALankapurage@dctabudhabi.ae" xr:uid="{EFDDA3DF-F064-4C3B-88C3-DF90337625C0}"/>
    <hyperlink ref="M44" r:id="rId41" xr:uid="{307763DE-16D0-4B3F-9C6C-79D5A712EFC1}"/>
    <hyperlink ref="M43" r:id="rId42" xr:uid="{49FE27A1-70D2-4540-AE31-30F76B27FC82}"/>
    <hyperlink ref="M10" r:id="rId43" xr:uid="{18AF6B2A-CC53-4C79-8FEE-F3B0D9445AF4}"/>
    <hyperlink ref="F51" r:id="rId44" xr:uid="{29520294-4D6A-4977-8C5F-11328E9DB967}"/>
  </hyperlinks>
  <pageMargins left="0.7" right="0.7" top="0.75" bottom="0.75" header="0.3" footer="0.3"/>
  <pageSetup paperSize="9"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4161-DB00-450E-9BC1-E867CB4CFC79}">
  <sheetPr codeName="Sheet3"/>
  <dimension ref="A1:U74"/>
  <sheetViews>
    <sheetView showGridLines="0" tabSelected="1" topLeftCell="D1" zoomScaleNormal="100" workbookViewId="0">
      <selection sqref="A1:A1048576"/>
    </sheetView>
  </sheetViews>
  <sheetFormatPr defaultRowHeight="15" x14ac:dyDescent="0.25"/>
  <cols>
    <col min="1" max="1" width="33.85546875" style="1" hidden="1" customWidth="1"/>
    <col min="2" max="2" width="18.7109375" style="1" hidden="1" customWidth="1"/>
    <col min="3" max="3" width="55.7109375" style="17" hidden="1" customWidth="1"/>
    <col min="4" max="4" width="24.7109375" style="1" bestFit="1" customWidth="1"/>
    <col min="5" max="5" width="36.140625" style="100" bestFit="1" customWidth="1"/>
    <col min="6" max="6" width="49.7109375" customWidth="1"/>
    <col min="7" max="7" width="44.140625" customWidth="1"/>
    <col min="8" max="8" width="32.7109375" customWidth="1"/>
    <col min="9" max="9" width="26.42578125" style="1" bestFit="1" customWidth="1"/>
    <col min="10" max="10" width="30.85546875" style="1" bestFit="1" customWidth="1"/>
    <col min="11" max="11" width="20" style="1" bestFit="1" customWidth="1"/>
    <col min="12" max="12" width="19.42578125" hidden="1" customWidth="1"/>
    <col min="13" max="13" width="19.42578125" customWidth="1"/>
    <col min="14" max="14" width="46.7109375" bestFit="1" customWidth="1"/>
    <col min="15" max="15" width="43.28515625" bestFit="1" customWidth="1"/>
    <col min="16" max="16" width="50" bestFit="1" customWidth="1"/>
    <col min="17" max="17" width="89.7109375" bestFit="1" customWidth="1"/>
    <col min="18" max="18" width="85.85546875" bestFit="1" customWidth="1"/>
    <col min="19" max="19" width="17.28515625" style="1" customWidth="1"/>
    <col min="20" max="20" width="21.5703125" style="1" hidden="1" customWidth="1"/>
  </cols>
  <sheetData>
    <row r="1" spans="1:20" s="1" customFormat="1" ht="18.75" x14ac:dyDescent="0.25">
      <c r="A1" s="19" t="s">
        <v>267</v>
      </c>
      <c r="B1" s="19" t="s">
        <v>2</v>
      </c>
      <c r="C1" s="147" t="s">
        <v>268</v>
      </c>
      <c r="D1" s="153" t="s">
        <v>269</v>
      </c>
      <c r="E1" s="154" t="s">
        <v>270</v>
      </c>
      <c r="F1" s="155" t="s">
        <v>271</v>
      </c>
      <c r="G1" s="156" t="s">
        <v>3</v>
      </c>
      <c r="H1" s="156" t="s">
        <v>4</v>
      </c>
      <c r="I1" s="154" t="s">
        <v>5</v>
      </c>
      <c r="J1" s="154" t="s">
        <v>4</v>
      </c>
      <c r="K1" s="154" t="s">
        <v>7</v>
      </c>
      <c r="L1" s="154" t="s">
        <v>272</v>
      </c>
      <c r="M1" s="154" t="s">
        <v>273</v>
      </c>
      <c r="N1" s="154" t="s">
        <v>274</v>
      </c>
      <c r="O1" s="157" t="s">
        <v>8</v>
      </c>
      <c r="P1" s="157" t="s">
        <v>275</v>
      </c>
      <c r="Q1" s="158" t="s">
        <v>9</v>
      </c>
      <c r="R1" s="157" t="s">
        <v>10</v>
      </c>
      <c r="S1" s="157" t="s">
        <v>11</v>
      </c>
      <c r="T1" s="159" t="s">
        <v>276</v>
      </c>
    </row>
    <row r="2" spans="1:20" ht="14.85" customHeight="1" x14ac:dyDescent="0.25">
      <c r="A2" s="128" t="s">
        <v>12</v>
      </c>
      <c r="B2" s="129">
        <v>4510195</v>
      </c>
      <c r="C2" s="130" t="s">
        <v>18</v>
      </c>
      <c r="D2" s="160">
        <v>4510195</v>
      </c>
      <c r="E2" s="127" t="s">
        <v>277</v>
      </c>
      <c r="F2" s="131" t="s">
        <v>278</v>
      </c>
      <c r="G2" s="23" t="s">
        <v>279</v>
      </c>
      <c r="H2" s="23" t="s">
        <v>15</v>
      </c>
      <c r="I2" s="23" t="s">
        <v>98</v>
      </c>
      <c r="J2" s="47" t="s">
        <v>99</v>
      </c>
      <c r="K2" s="30" t="s">
        <v>280</v>
      </c>
      <c r="L2" s="39"/>
      <c r="M2" s="39" t="s">
        <v>281</v>
      </c>
      <c r="N2" s="39" t="s">
        <v>282</v>
      </c>
      <c r="O2" s="32" t="s">
        <v>20</v>
      </c>
      <c r="P2" s="41" t="s">
        <v>283</v>
      </c>
      <c r="Q2" s="131" t="s">
        <v>284</v>
      </c>
      <c r="R2" s="32" t="s">
        <v>285</v>
      </c>
      <c r="S2" s="23" t="s">
        <v>23</v>
      </c>
      <c r="T2" s="161"/>
    </row>
    <row r="3" spans="1:20" ht="14.85" customHeight="1" x14ac:dyDescent="0.25">
      <c r="A3" s="20" t="s">
        <v>12</v>
      </c>
      <c r="B3" s="21">
        <v>4519196</v>
      </c>
      <c r="C3" s="98" t="s">
        <v>286</v>
      </c>
      <c r="D3" s="160">
        <v>4519196</v>
      </c>
      <c r="E3" s="127" t="s">
        <v>277</v>
      </c>
      <c r="F3" s="131" t="s">
        <v>286</v>
      </c>
      <c r="G3" s="23" t="s">
        <v>279</v>
      </c>
      <c r="H3" s="23" t="s">
        <v>15</v>
      </c>
      <c r="I3" s="23" t="s">
        <v>98</v>
      </c>
      <c r="J3" s="47" t="s">
        <v>99</v>
      </c>
      <c r="K3" s="30" t="s">
        <v>280</v>
      </c>
      <c r="L3" s="39"/>
      <c r="M3" s="39" t="s">
        <v>281</v>
      </c>
      <c r="N3" s="39" t="s">
        <v>282</v>
      </c>
      <c r="O3" s="32" t="s">
        <v>25</v>
      </c>
      <c r="P3" s="41" t="s">
        <v>287</v>
      </c>
      <c r="Q3" s="131" t="s">
        <v>26</v>
      </c>
      <c r="R3" s="32" t="s">
        <v>27</v>
      </c>
      <c r="S3" s="23" t="s">
        <v>23</v>
      </c>
      <c r="T3" s="161"/>
    </row>
    <row r="4" spans="1:20" ht="14.85" customHeight="1" x14ac:dyDescent="0.25">
      <c r="A4" s="20" t="s">
        <v>12</v>
      </c>
      <c r="B4" s="21">
        <v>4519197</v>
      </c>
      <c r="C4" s="98" t="s">
        <v>288</v>
      </c>
      <c r="D4" s="160">
        <v>4519197</v>
      </c>
      <c r="E4" s="127" t="s">
        <v>277</v>
      </c>
      <c r="F4" s="131" t="s">
        <v>288</v>
      </c>
      <c r="G4" s="23" t="s">
        <v>279</v>
      </c>
      <c r="H4" s="23" t="s">
        <v>15</v>
      </c>
      <c r="I4" s="23" t="s">
        <v>98</v>
      </c>
      <c r="J4" s="47" t="s">
        <v>99</v>
      </c>
      <c r="K4" s="30" t="s">
        <v>280</v>
      </c>
      <c r="L4" s="39"/>
      <c r="M4" s="39" t="s">
        <v>281</v>
      </c>
      <c r="N4" s="39" t="s">
        <v>282</v>
      </c>
      <c r="O4" s="32" t="s">
        <v>30</v>
      </c>
      <c r="P4" s="41" t="s">
        <v>289</v>
      </c>
      <c r="Q4" s="131" t="s">
        <v>31</v>
      </c>
      <c r="R4" s="32" t="s">
        <v>32</v>
      </c>
      <c r="S4" s="23" t="s">
        <v>23</v>
      </c>
      <c r="T4" s="161"/>
    </row>
    <row r="5" spans="1:20" ht="14.85" customHeight="1" x14ac:dyDescent="0.25">
      <c r="A5" s="20" t="s">
        <v>12</v>
      </c>
      <c r="B5" s="21">
        <v>4519199</v>
      </c>
      <c r="C5" s="98" t="s">
        <v>290</v>
      </c>
      <c r="D5" s="160">
        <v>4519199</v>
      </c>
      <c r="E5" s="127" t="s">
        <v>277</v>
      </c>
      <c r="F5" s="131" t="s">
        <v>290</v>
      </c>
      <c r="G5" s="23" t="s">
        <v>279</v>
      </c>
      <c r="H5" s="23" t="s">
        <v>15</v>
      </c>
      <c r="I5" s="23" t="s">
        <v>98</v>
      </c>
      <c r="J5" s="47" t="s">
        <v>99</v>
      </c>
      <c r="K5" s="30" t="s">
        <v>280</v>
      </c>
      <c r="L5" s="39"/>
      <c r="M5" s="39" t="s">
        <v>281</v>
      </c>
      <c r="N5" s="39" t="s">
        <v>282</v>
      </c>
      <c r="O5" s="32" t="s">
        <v>34</v>
      </c>
      <c r="P5" s="41" t="s">
        <v>291</v>
      </c>
      <c r="Q5" s="131" t="s">
        <v>35</v>
      </c>
      <c r="R5" s="32" t="s">
        <v>36</v>
      </c>
      <c r="S5" s="23" t="s">
        <v>23</v>
      </c>
      <c r="T5" s="161"/>
    </row>
    <row r="6" spans="1:20" ht="14.85" customHeight="1" x14ac:dyDescent="0.25">
      <c r="A6" s="20" t="s">
        <v>12</v>
      </c>
      <c r="B6" s="21">
        <v>4519200</v>
      </c>
      <c r="C6" s="98" t="s">
        <v>292</v>
      </c>
      <c r="D6" s="160">
        <v>4519200</v>
      </c>
      <c r="E6" s="127" t="s">
        <v>277</v>
      </c>
      <c r="F6" s="131" t="s">
        <v>292</v>
      </c>
      <c r="G6" s="23" t="s">
        <v>279</v>
      </c>
      <c r="H6" s="23" t="s">
        <v>15</v>
      </c>
      <c r="I6" s="23" t="s">
        <v>98</v>
      </c>
      <c r="J6" s="47" t="s">
        <v>99</v>
      </c>
      <c r="K6" s="30" t="s">
        <v>280</v>
      </c>
      <c r="L6" s="39"/>
      <c r="M6" s="39" t="s">
        <v>281</v>
      </c>
      <c r="N6" s="39" t="s">
        <v>282</v>
      </c>
      <c r="O6" s="32" t="s">
        <v>50</v>
      </c>
      <c r="P6" s="41" t="s">
        <v>293</v>
      </c>
      <c r="Q6" s="131" t="s">
        <v>51</v>
      </c>
      <c r="R6" s="32" t="s">
        <v>52</v>
      </c>
      <c r="S6" s="23" t="s">
        <v>23</v>
      </c>
      <c r="T6" s="161"/>
    </row>
    <row r="7" spans="1:20" ht="14.85" customHeight="1" x14ac:dyDescent="0.25">
      <c r="A7" s="20" t="s">
        <v>12</v>
      </c>
      <c r="B7" s="21">
        <v>4519201</v>
      </c>
      <c r="C7" s="98" t="s">
        <v>294</v>
      </c>
      <c r="D7" s="160">
        <v>4519201</v>
      </c>
      <c r="E7" s="127" t="s">
        <v>277</v>
      </c>
      <c r="F7" s="131" t="s">
        <v>294</v>
      </c>
      <c r="G7" s="23" t="s">
        <v>279</v>
      </c>
      <c r="H7" s="23" t="s">
        <v>15</v>
      </c>
      <c r="I7" s="23" t="s">
        <v>98</v>
      </c>
      <c r="J7" s="47" t="s">
        <v>99</v>
      </c>
      <c r="K7" s="30" t="s">
        <v>280</v>
      </c>
      <c r="L7" s="39"/>
      <c r="M7" s="39" t="s">
        <v>281</v>
      </c>
      <c r="N7" s="39" t="s">
        <v>282</v>
      </c>
      <c r="O7" s="32" t="s">
        <v>38</v>
      </c>
      <c r="P7" s="41" t="s">
        <v>295</v>
      </c>
      <c r="Q7" s="131" t="s">
        <v>39</v>
      </c>
      <c r="R7" s="32" t="s">
        <v>40</v>
      </c>
      <c r="S7" s="23" t="s">
        <v>23</v>
      </c>
      <c r="T7" s="161"/>
    </row>
    <row r="8" spans="1:20" ht="14.85" customHeight="1" x14ac:dyDescent="0.25">
      <c r="A8" s="20" t="s">
        <v>12</v>
      </c>
      <c r="B8" s="21">
        <v>4519202</v>
      </c>
      <c r="C8" s="98" t="s">
        <v>296</v>
      </c>
      <c r="D8" s="160">
        <v>4519202</v>
      </c>
      <c r="E8" s="127" t="s">
        <v>277</v>
      </c>
      <c r="F8" s="131" t="s">
        <v>296</v>
      </c>
      <c r="G8" s="23" t="s">
        <v>279</v>
      </c>
      <c r="H8" s="23" t="s">
        <v>15</v>
      </c>
      <c r="I8" s="23" t="s">
        <v>98</v>
      </c>
      <c r="J8" s="47" t="s">
        <v>99</v>
      </c>
      <c r="K8" s="30" t="s">
        <v>280</v>
      </c>
      <c r="L8" s="39"/>
      <c r="M8" s="39" t="s">
        <v>281</v>
      </c>
      <c r="N8" s="39" t="s">
        <v>282</v>
      </c>
      <c r="O8" s="32" t="s">
        <v>42</v>
      </c>
      <c r="P8" s="41" t="s">
        <v>297</v>
      </c>
      <c r="Q8" s="131" t="s">
        <v>43</v>
      </c>
      <c r="R8" s="32" t="s">
        <v>44</v>
      </c>
      <c r="S8" s="23" t="s">
        <v>23</v>
      </c>
      <c r="T8" s="161"/>
    </row>
    <row r="9" spans="1:20" ht="14.85" customHeight="1" x14ac:dyDescent="0.25">
      <c r="A9" s="20" t="s">
        <v>12</v>
      </c>
      <c r="B9" s="21">
        <v>4519203</v>
      </c>
      <c r="C9" s="98" t="s">
        <v>298</v>
      </c>
      <c r="D9" s="160">
        <v>4519203</v>
      </c>
      <c r="E9" s="127" t="s">
        <v>277</v>
      </c>
      <c r="F9" s="131" t="s">
        <v>298</v>
      </c>
      <c r="G9" s="23" t="s">
        <v>279</v>
      </c>
      <c r="H9" s="23" t="s">
        <v>15</v>
      </c>
      <c r="I9" s="23" t="s">
        <v>98</v>
      </c>
      <c r="J9" s="47" t="s">
        <v>99</v>
      </c>
      <c r="K9" s="30" t="s">
        <v>280</v>
      </c>
      <c r="L9" s="39"/>
      <c r="M9" s="39" t="s">
        <v>281</v>
      </c>
      <c r="N9" s="39" t="s">
        <v>282</v>
      </c>
      <c r="O9" s="32" t="s">
        <v>46</v>
      </c>
      <c r="P9" s="41" t="s">
        <v>299</v>
      </c>
      <c r="Q9" s="131" t="s">
        <v>47</v>
      </c>
      <c r="R9" s="32" t="s">
        <v>48</v>
      </c>
      <c r="S9" s="23" t="s">
        <v>23</v>
      </c>
      <c r="T9" s="161"/>
    </row>
    <row r="10" spans="1:20" ht="14.85" customHeight="1" thickBot="1" x14ac:dyDescent="0.3">
      <c r="A10" s="141" t="s">
        <v>12</v>
      </c>
      <c r="B10" s="142">
        <v>4519204</v>
      </c>
      <c r="C10" s="143" t="s">
        <v>300</v>
      </c>
      <c r="D10" s="188">
        <v>4519204</v>
      </c>
      <c r="E10" s="150" t="s">
        <v>277</v>
      </c>
      <c r="F10" s="151" t="s">
        <v>300</v>
      </c>
      <c r="G10" s="135" t="s">
        <v>279</v>
      </c>
      <c r="H10" s="135" t="s">
        <v>15</v>
      </c>
      <c r="I10" s="135" t="s">
        <v>98</v>
      </c>
      <c r="J10" s="139" t="s">
        <v>99</v>
      </c>
      <c r="K10" s="212" t="s">
        <v>280</v>
      </c>
      <c r="L10" s="140"/>
      <c r="M10" s="140"/>
      <c r="N10" s="140"/>
      <c r="O10" s="136" t="s">
        <v>301</v>
      </c>
      <c r="P10" s="136" t="s">
        <v>302</v>
      </c>
      <c r="Q10" s="138" t="s">
        <v>303</v>
      </c>
      <c r="R10" s="136" t="s">
        <v>304</v>
      </c>
      <c r="S10" s="135" t="s">
        <v>28</v>
      </c>
      <c r="T10" s="177"/>
    </row>
    <row r="11" spans="1:20" ht="14.85" customHeight="1" x14ac:dyDescent="0.25">
      <c r="A11" s="20" t="s">
        <v>62</v>
      </c>
      <c r="B11" s="21">
        <v>4511300</v>
      </c>
      <c r="C11" s="98" t="s">
        <v>66</v>
      </c>
      <c r="D11" s="178">
        <v>4511300</v>
      </c>
      <c r="E11" s="179" t="s">
        <v>62</v>
      </c>
      <c r="F11" s="180" t="s">
        <v>66</v>
      </c>
      <c r="G11" s="181" t="s">
        <v>305</v>
      </c>
      <c r="H11" s="181" t="s">
        <v>65</v>
      </c>
      <c r="I11" s="181" t="s">
        <v>148</v>
      </c>
      <c r="J11" s="182" t="s">
        <v>149</v>
      </c>
      <c r="K11" s="190" t="s">
        <v>280</v>
      </c>
      <c r="L11" s="183"/>
      <c r="M11" s="39" t="s">
        <v>306</v>
      </c>
      <c r="N11" s="216" t="s">
        <v>307</v>
      </c>
      <c r="O11" s="184" t="s">
        <v>308</v>
      </c>
      <c r="P11" s="185" t="s">
        <v>309</v>
      </c>
      <c r="Q11" s="186" t="s">
        <v>310</v>
      </c>
      <c r="R11" s="184" t="s">
        <v>311</v>
      </c>
      <c r="S11" s="181" t="s">
        <v>23</v>
      </c>
      <c r="T11" s="187"/>
    </row>
    <row r="12" spans="1:20" ht="14.85" customHeight="1" x14ac:dyDescent="0.25">
      <c r="A12" s="20" t="s">
        <v>62</v>
      </c>
      <c r="B12" s="21">
        <v>4511600</v>
      </c>
      <c r="C12" s="98" t="s">
        <v>71</v>
      </c>
      <c r="D12" s="160">
        <v>4511600</v>
      </c>
      <c r="E12" s="127" t="s">
        <v>62</v>
      </c>
      <c r="F12" s="131" t="s">
        <v>312</v>
      </c>
      <c r="G12" s="23" t="s">
        <v>305</v>
      </c>
      <c r="H12" s="23" t="s">
        <v>65</v>
      </c>
      <c r="I12" s="23" t="s">
        <v>148</v>
      </c>
      <c r="J12" s="47" t="s">
        <v>149</v>
      </c>
      <c r="K12" s="30" t="s">
        <v>280</v>
      </c>
      <c r="L12" s="39"/>
      <c r="M12" s="39" t="s">
        <v>306</v>
      </c>
      <c r="N12" s="216" t="s">
        <v>307</v>
      </c>
      <c r="O12" s="32" t="s">
        <v>313</v>
      </c>
      <c r="P12" s="41" t="s">
        <v>314</v>
      </c>
      <c r="Q12" s="131" t="s">
        <v>315</v>
      </c>
      <c r="R12" s="32" t="s">
        <v>74</v>
      </c>
      <c r="S12" s="23" t="s">
        <v>23</v>
      </c>
      <c r="T12" s="161"/>
    </row>
    <row r="13" spans="1:20" ht="14.85" customHeight="1" x14ac:dyDescent="0.25">
      <c r="A13" s="20" t="s">
        <v>62</v>
      </c>
      <c r="B13" s="21">
        <v>4516100</v>
      </c>
      <c r="C13" s="98" t="s">
        <v>316</v>
      </c>
      <c r="D13" s="160">
        <v>4516100</v>
      </c>
      <c r="E13" s="127" t="s">
        <v>62</v>
      </c>
      <c r="F13" s="131" t="s">
        <v>317</v>
      </c>
      <c r="G13" s="23" t="s">
        <v>305</v>
      </c>
      <c r="H13" s="23" t="s">
        <v>65</v>
      </c>
      <c r="I13" s="23" t="s">
        <v>148</v>
      </c>
      <c r="J13" s="47" t="s">
        <v>149</v>
      </c>
      <c r="K13" s="30" t="s">
        <v>280</v>
      </c>
      <c r="L13" s="39"/>
      <c r="M13" s="39" t="s">
        <v>306</v>
      </c>
      <c r="N13" s="216" t="s">
        <v>307</v>
      </c>
      <c r="O13" s="32" t="s">
        <v>77</v>
      </c>
      <c r="P13" s="41" t="s">
        <v>318</v>
      </c>
      <c r="Q13" s="131" t="s">
        <v>319</v>
      </c>
      <c r="R13" s="32" t="s">
        <v>320</v>
      </c>
      <c r="S13" s="23" t="s">
        <v>23</v>
      </c>
      <c r="T13" s="161"/>
    </row>
    <row r="14" spans="1:20" ht="14.85" customHeight="1" x14ac:dyDescent="0.25">
      <c r="A14" s="20" t="s">
        <v>62</v>
      </c>
      <c r="B14" s="21">
        <v>4511010</v>
      </c>
      <c r="C14" s="98" t="s">
        <v>81</v>
      </c>
      <c r="D14" s="160">
        <v>4511010</v>
      </c>
      <c r="E14" s="127" t="s">
        <v>62</v>
      </c>
      <c r="F14" s="134" t="s">
        <v>81</v>
      </c>
      <c r="G14" s="23" t="s">
        <v>305</v>
      </c>
      <c r="H14" s="23" t="s">
        <v>65</v>
      </c>
      <c r="I14" s="23" t="s">
        <v>148</v>
      </c>
      <c r="J14" s="47" t="s">
        <v>149</v>
      </c>
      <c r="K14" s="30" t="s">
        <v>280</v>
      </c>
      <c r="L14" s="39"/>
      <c r="M14" s="39" t="s">
        <v>306</v>
      </c>
      <c r="N14" s="216" t="s">
        <v>307</v>
      </c>
      <c r="O14" s="32" t="s">
        <v>321</v>
      </c>
      <c r="P14" s="41" t="s">
        <v>322</v>
      </c>
      <c r="Q14" s="131" t="s">
        <v>323</v>
      </c>
      <c r="R14" s="32" t="s">
        <v>324</v>
      </c>
      <c r="S14" s="23" t="s">
        <v>23</v>
      </c>
      <c r="T14" s="161"/>
    </row>
    <row r="15" spans="1:20" ht="14.85" customHeight="1" x14ac:dyDescent="0.25">
      <c r="A15" s="141" t="s">
        <v>62</v>
      </c>
      <c r="B15" s="142">
        <v>4511011</v>
      </c>
      <c r="C15" s="143" t="s">
        <v>325</v>
      </c>
      <c r="D15" s="188"/>
      <c r="E15" s="150"/>
      <c r="F15" s="151"/>
      <c r="G15" s="135" t="s">
        <v>326</v>
      </c>
      <c r="H15" s="135" t="s">
        <v>87</v>
      </c>
      <c r="I15" s="135" t="s">
        <v>148</v>
      </c>
      <c r="J15" s="139" t="s">
        <v>149</v>
      </c>
      <c r="K15" s="212"/>
      <c r="L15" s="140"/>
      <c r="M15" s="140"/>
      <c r="N15" s="140"/>
      <c r="O15" s="136" t="s">
        <v>327</v>
      </c>
      <c r="P15" s="136" t="s">
        <v>328</v>
      </c>
      <c r="Q15" s="138" t="s">
        <v>329</v>
      </c>
      <c r="R15" s="136" t="s">
        <v>330</v>
      </c>
      <c r="S15" s="135" t="s">
        <v>28</v>
      </c>
      <c r="T15" s="189"/>
    </row>
    <row r="16" spans="1:20" ht="14.85" customHeight="1" x14ac:dyDescent="0.25">
      <c r="A16" s="20" t="s">
        <v>62</v>
      </c>
      <c r="B16" s="21">
        <v>4511150</v>
      </c>
      <c r="C16" s="98" t="s">
        <v>92</v>
      </c>
      <c r="D16" s="160">
        <v>4511150</v>
      </c>
      <c r="E16" s="127" t="s">
        <v>62</v>
      </c>
      <c r="F16" s="134" t="s">
        <v>331</v>
      </c>
      <c r="G16" s="23" t="s">
        <v>305</v>
      </c>
      <c r="H16" s="23" t="s">
        <v>65</v>
      </c>
      <c r="I16" s="23" t="s">
        <v>148</v>
      </c>
      <c r="J16" s="47" t="s">
        <v>149</v>
      </c>
      <c r="K16" s="30" t="s">
        <v>280</v>
      </c>
      <c r="L16" s="39"/>
      <c r="M16" s="39" t="s">
        <v>306</v>
      </c>
      <c r="N16" s="216" t="s">
        <v>307</v>
      </c>
      <c r="O16" s="32" t="s">
        <v>323</v>
      </c>
      <c r="P16" s="41" t="s">
        <v>324</v>
      </c>
      <c r="Q16" s="131" t="s">
        <v>323</v>
      </c>
      <c r="R16" s="32" t="s">
        <v>324</v>
      </c>
      <c r="S16" s="23" t="s">
        <v>23</v>
      </c>
      <c r="T16" s="161"/>
    </row>
    <row r="17" spans="1:20" ht="14.85" customHeight="1" x14ac:dyDescent="0.25">
      <c r="A17" s="20" t="s">
        <v>62</v>
      </c>
      <c r="B17" s="21">
        <v>4511250</v>
      </c>
      <c r="C17" s="98" t="s">
        <v>100</v>
      </c>
      <c r="D17" s="160">
        <v>4511250</v>
      </c>
      <c r="E17" s="127" t="s">
        <v>62</v>
      </c>
      <c r="F17" s="131" t="s">
        <v>332</v>
      </c>
      <c r="G17" s="23" t="s">
        <v>333</v>
      </c>
      <c r="H17" s="23" t="s">
        <v>334</v>
      </c>
      <c r="I17" s="23" t="s">
        <v>743</v>
      </c>
      <c r="J17" t="s">
        <v>742</v>
      </c>
      <c r="K17" s="30" t="s">
        <v>280</v>
      </c>
      <c r="L17" s="39"/>
      <c r="M17" s="39" t="s">
        <v>306</v>
      </c>
      <c r="N17" s="216" t="s">
        <v>307</v>
      </c>
      <c r="O17" s="32" t="s">
        <v>335</v>
      </c>
      <c r="P17" s="41" t="s">
        <v>336</v>
      </c>
      <c r="Q17" s="131" t="s">
        <v>337</v>
      </c>
      <c r="R17" s="32" t="s">
        <v>338</v>
      </c>
      <c r="S17" s="23" t="s">
        <v>23</v>
      </c>
      <c r="T17" s="161"/>
    </row>
    <row r="18" spans="1:20" ht="14.85" customHeight="1" x14ac:dyDescent="0.25">
      <c r="A18" s="20" t="s">
        <v>62</v>
      </c>
      <c r="B18" s="21">
        <v>4511550</v>
      </c>
      <c r="C18" s="98" t="s">
        <v>105</v>
      </c>
      <c r="D18" s="160">
        <v>4511550</v>
      </c>
      <c r="E18" s="127" t="s">
        <v>62</v>
      </c>
      <c r="F18" s="131" t="s">
        <v>339</v>
      </c>
      <c r="G18" s="23" t="s">
        <v>326</v>
      </c>
      <c r="H18" s="23" t="s">
        <v>87</v>
      </c>
      <c r="I18" s="23" t="s">
        <v>148</v>
      </c>
      <c r="J18" s="47" t="s">
        <v>149</v>
      </c>
      <c r="K18" s="30" t="s">
        <v>280</v>
      </c>
      <c r="L18" s="39"/>
      <c r="M18" s="39" t="s">
        <v>306</v>
      </c>
      <c r="N18" s="216" t="s">
        <v>307</v>
      </c>
      <c r="O18" s="32" t="s">
        <v>340</v>
      </c>
      <c r="P18" s="41" t="s">
        <v>341</v>
      </c>
      <c r="Q18" s="131" t="s">
        <v>342</v>
      </c>
      <c r="R18" s="32" t="s">
        <v>108</v>
      </c>
      <c r="S18" s="23" t="s">
        <v>23</v>
      </c>
      <c r="T18" s="161"/>
    </row>
    <row r="19" spans="1:20" ht="14.85" customHeight="1" x14ac:dyDescent="0.25">
      <c r="A19" s="20" t="s">
        <v>62</v>
      </c>
      <c r="B19" s="21">
        <v>4511700</v>
      </c>
      <c r="C19" s="98" t="s">
        <v>110</v>
      </c>
      <c r="D19" s="160">
        <v>4511700</v>
      </c>
      <c r="E19" s="127" t="s">
        <v>62</v>
      </c>
      <c r="F19" s="131" t="s">
        <v>343</v>
      </c>
      <c r="G19" s="23" t="s">
        <v>326</v>
      </c>
      <c r="H19" s="23" t="s">
        <v>87</v>
      </c>
      <c r="I19" s="23" t="s">
        <v>148</v>
      </c>
      <c r="J19" s="47" t="s">
        <v>149</v>
      </c>
      <c r="K19" s="30" t="s">
        <v>280</v>
      </c>
      <c r="L19" s="39"/>
      <c r="M19" s="39" t="s">
        <v>306</v>
      </c>
      <c r="N19" s="216" t="s">
        <v>307</v>
      </c>
      <c r="O19" s="32" t="s">
        <v>327</v>
      </c>
      <c r="P19" s="41" t="s">
        <v>328</v>
      </c>
      <c r="Q19" s="131" t="s">
        <v>344</v>
      </c>
      <c r="R19" s="32" t="s">
        <v>345</v>
      </c>
      <c r="S19" s="23" t="s">
        <v>23</v>
      </c>
      <c r="T19" s="161"/>
    </row>
    <row r="20" spans="1:20" ht="14.85" customHeight="1" x14ac:dyDescent="0.25">
      <c r="A20" s="20" t="s">
        <v>62</v>
      </c>
      <c r="B20" s="21">
        <v>4511750</v>
      </c>
      <c r="C20" s="98" t="s">
        <v>346</v>
      </c>
      <c r="D20" s="160">
        <v>4511750</v>
      </c>
      <c r="E20" s="127" t="s">
        <v>62</v>
      </c>
      <c r="F20" s="131" t="s">
        <v>346</v>
      </c>
      <c r="G20" s="23" t="s">
        <v>347</v>
      </c>
      <c r="H20" s="133" t="s">
        <v>348</v>
      </c>
      <c r="I20" s="23" t="s">
        <v>148</v>
      </c>
      <c r="J20" s="47" t="s">
        <v>149</v>
      </c>
      <c r="K20" s="30" t="s">
        <v>280</v>
      </c>
      <c r="L20" s="39"/>
      <c r="M20" s="39" t="s">
        <v>306</v>
      </c>
      <c r="N20" s="216" t="s">
        <v>307</v>
      </c>
      <c r="O20" s="32" t="s">
        <v>313</v>
      </c>
      <c r="P20" s="41" t="s">
        <v>314</v>
      </c>
      <c r="Q20" s="131" t="s">
        <v>349</v>
      </c>
      <c r="R20" s="32" t="s">
        <v>350</v>
      </c>
      <c r="S20" s="23" t="s">
        <v>23</v>
      </c>
      <c r="T20" s="161"/>
    </row>
    <row r="21" spans="1:20" ht="14.85" customHeight="1" x14ac:dyDescent="0.25">
      <c r="A21" s="20" t="s">
        <v>62</v>
      </c>
      <c r="B21" s="21">
        <v>4511800</v>
      </c>
      <c r="C21" s="98" t="s">
        <v>351</v>
      </c>
      <c r="D21" s="160">
        <v>4511800</v>
      </c>
      <c r="E21" s="127" t="s">
        <v>62</v>
      </c>
      <c r="F21" s="131" t="s">
        <v>351</v>
      </c>
      <c r="G21" s="23" t="s">
        <v>347</v>
      </c>
      <c r="H21" s="133" t="s">
        <v>348</v>
      </c>
      <c r="I21" s="23" t="s">
        <v>148</v>
      </c>
      <c r="J21" s="47" t="s">
        <v>149</v>
      </c>
      <c r="K21" s="30" t="s">
        <v>280</v>
      </c>
      <c r="L21" s="39"/>
      <c r="M21" s="39" t="s">
        <v>306</v>
      </c>
      <c r="N21" s="216" t="s">
        <v>307</v>
      </c>
      <c r="O21" s="32" t="s">
        <v>118</v>
      </c>
      <c r="P21" s="41" t="s">
        <v>352</v>
      </c>
      <c r="Q21" s="131" t="s">
        <v>353</v>
      </c>
      <c r="R21" s="32" t="s">
        <v>354</v>
      </c>
      <c r="S21" s="23" t="s">
        <v>23</v>
      </c>
      <c r="T21" s="161"/>
    </row>
    <row r="22" spans="1:20" ht="14.85" customHeight="1" thickBot="1" x14ac:dyDescent="0.3">
      <c r="A22" s="20"/>
      <c r="B22" s="21"/>
      <c r="C22" s="98"/>
      <c r="D22" s="171">
        <v>4511020</v>
      </c>
      <c r="E22" s="132" t="s">
        <v>62</v>
      </c>
      <c r="F22" s="172" t="s">
        <v>355</v>
      </c>
      <c r="G22" s="133" t="s">
        <v>326</v>
      </c>
      <c r="H22" s="133" t="s">
        <v>87</v>
      </c>
      <c r="I22" s="133" t="s">
        <v>148</v>
      </c>
      <c r="J22" s="173" t="s">
        <v>149</v>
      </c>
      <c r="K22" s="192" t="s">
        <v>280</v>
      </c>
      <c r="L22" s="174"/>
      <c r="M22" s="39" t="s">
        <v>306</v>
      </c>
      <c r="N22" s="216" t="s">
        <v>307</v>
      </c>
      <c r="O22" s="175" t="s">
        <v>323</v>
      </c>
      <c r="P22" s="176" t="s">
        <v>324</v>
      </c>
      <c r="Q22" s="172" t="s">
        <v>323</v>
      </c>
      <c r="R22" s="175" t="s">
        <v>324</v>
      </c>
      <c r="S22" s="133" t="s">
        <v>23</v>
      </c>
      <c r="T22" s="177"/>
    </row>
    <row r="23" spans="1:20" ht="14.85" customHeight="1" thickBot="1" x14ac:dyDescent="0.3">
      <c r="A23" s="23" t="s">
        <v>121</v>
      </c>
      <c r="B23" s="23">
        <v>4510110</v>
      </c>
      <c r="C23" s="148" t="s">
        <v>356</v>
      </c>
      <c r="D23" s="178">
        <v>4510110</v>
      </c>
      <c r="E23" s="179" t="s">
        <v>357</v>
      </c>
      <c r="F23" s="186" t="s">
        <v>358</v>
      </c>
      <c r="G23" s="181" t="s">
        <v>359</v>
      </c>
      <c r="H23" s="181" t="s">
        <v>56</v>
      </c>
      <c r="I23" s="181" t="s">
        <v>16</v>
      </c>
      <c r="J23" s="182" t="s">
        <v>17</v>
      </c>
      <c r="K23" s="190" t="s">
        <v>280</v>
      </c>
      <c r="L23" s="183"/>
      <c r="M23" s="183" t="s">
        <v>360</v>
      </c>
      <c r="N23" s="183" t="s">
        <v>361</v>
      </c>
      <c r="O23" s="184" t="s">
        <v>362</v>
      </c>
      <c r="P23" s="185" t="s">
        <v>363</v>
      </c>
      <c r="Q23" s="186" t="s">
        <v>364</v>
      </c>
      <c r="R23" s="184" t="s">
        <v>365</v>
      </c>
      <c r="S23" s="181" t="s">
        <v>23</v>
      </c>
      <c r="T23" s="187"/>
    </row>
    <row r="24" spans="1:20" ht="14.85" customHeight="1" x14ac:dyDescent="0.25">
      <c r="A24" s="23" t="s">
        <v>121</v>
      </c>
      <c r="B24" s="23">
        <v>4510140</v>
      </c>
      <c r="C24" s="148" t="s">
        <v>366</v>
      </c>
      <c r="D24" s="160">
        <v>4510140</v>
      </c>
      <c r="E24" s="127" t="s">
        <v>357</v>
      </c>
      <c r="F24" s="131" t="s">
        <v>367</v>
      </c>
      <c r="G24" s="23" t="s">
        <v>359</v>
      </c>
      <c r="H24" s="23" t="s">
        <v>56</v>
      </c>
      <c r="I24" s="152" t="s">
        <v>368</v>
      </c>
      <c r="J24" s="47" t="s">
        <v>369</v>
      </c>
      <c r="K24" s="30" t="s">
        <v>151</v>
      </c>
      <c r="L24" s="39"/>
      <c r="M24" s="183" t="s">
        <v>360</v>
      </c>
      <c r="N24" s="183" t="s">
        <v>361</v>
      </c>
      <c r="O24" s="32" t="s">
        <v>128</v>
      </c>
      <c r="P24" s="41" t="s">
        <v>129</v>
      </c>
      <c r="Q24" s="131" t="s">
        <v>370</v>
      </c>
      <c r="R24" s="32" t="s">
        <v>371</v>
      </c>
      <c r="S24" s="23" t="s">
        <v>23</v>
      </c>
      <c r="T24" s="161"/>
    </row>
    <row r="25" spans="1:20" ht="14.85" customHeight="1" thickBot="1" x14ac:dyDescent="0.3">
      <c r="A25" s="23" t="s">
        <v>121</v>
      </c>
      <c r="B25" s="23">
        <v>4510150</v>
      </c>
      <c r="C25" s="148" t="s">
        <v>372</v>
      </c>
      <c r="D25" s="160">
        <v>4510150</v>
      </c>
      <c r="E25" s="127" t="s">
        <v>357</v>
      </c>
      <c r="F25" s="131" t="s">
        <v>372</v>
      </c>
      <c r="G25" s="23" t="s">
        <v>359</v>
      </c>
      <c r="H25" s="23" t="s">
        <v>56</v>
      </c>
      <c r="I25" s="23" t="s">
        <v>373</v>
      </c>
      <c r="J25" s="47" t="s">
        <v>374</v>
      </c>
      <c r="K25" s="30" t="s">
        <v>151</v>
      </c>
      <c r="L25" s="39"/>
      <c r="M25" s="39" t="s">
        <v>375</v>
      </c>
      <c r="N25" s="39" t="s">
        <v>376</v>
      </c>
      <c r="O25" s="32" t="s">
        <v>377</v>
      </c>
      <c r="P25" s="41" t="s">
        <v>378</v>
      </c>
      <c r="Q25" s="131" t="s">
        <v>133</v>
      </c>
      <c r="R25" s="32" t="s">
        <v>134</v>
      </c>
      <c r="S25" s="23" t="s">
        <v>23</v>
      </c>
      <c r="T25" s="161"/>
    </row>
    <row r="26" spans="1:20" ht="14.85" customHeight="1" x14ac:dyDescent="0.25">
      <c r="A26" s="23" t="s">
        <v>121</v>
      </c>
      <c r="B26" s="23">
        <v>4510155</v>
      </c>
      <c r="C26" s="148" t="s">
        <v>379</v>
      </c>
      <c r="D26" s="160">
        <v>4510155</v>
      </c>
      <c r="E26" s="127" t="s">
        <v>357</v>
      </c>
      <c r="F26" s="131" t="s">
        <v>379</v>
      </c>
      <c r="G26" s="23" t="s">
        <v>359</v>
      </c>
      <c r="H26" s="23" t="s">
        <v>56</v>
      </c>
      <c r="I26" s="23" t="s">
        <v>373</v>
      </c>
      <c r="J26" s="47" t="s">
        <v>374</v>
      </c>
      <c r="K26" s="30" t="s">
        <v>151</v>
      </c>
      <c r="L26" s="39"/>
      <c r="M26" s="183" t="s">
        <v>360</v>
      </c>
      <c r="N26" s="183" t="s">
        <v>361</v>
      </c>
      <c r="O26" s="32" t="s">
        <v>380</v>
      </c>
      <c r="P26" s="41" t="s">
        <v>381</v>
      </c>
      <c r="Q26" s="131" t="s">
        <v>138</v>
      </c>
      <c r="R26" s="32" t="s">
        <v>139</v>
      </c>
      <c r="S26" s="23" t="s">
        <v>23</v>
      </c>
      <c r="T26" s="161"/>
    </row>
    <row r="27" spans="1:20" ht="14.85" customHeight="1" x14ac:dyDescent="0.25">
      <c r="A27" s="23" t="s">
        <v>121</v>
      </c>
      <c r="B27" s="23">
        <v>4510160</v>
      </c>
      <c r="C27" s="148" t="s">
        <v>382</v>
      </c>
      <c r="D27" s="160">
        <v>4510160</v>
      </c>
      <c r="E27" s="127" t="s">
        <v>357</v>
      </c>
      <c r="F27" s="131" t="s">
        <v>382</v>
      </c>
      <c r="G27" s="23" t="s">
        <v>359</v>
      </c>
      <c r="H27" s="23" t="s">
        <v>56</v>
      </c>
      <c r="I27" s="23" t="s">
        <v>368</v>
      </c>
      <c r="J27" s="47" t="s">
        <v>369</v>
      </c>
      <c r="K27" s="30" t="s">
        <v>151</v>
      </c>
      <c r="L27" s="39"/>
      <c r="M27" s="39" t="s">
        <v>375</v>
      </c>
      <c r="N27" s="39" t="s">
        <v>376</v>
      </c>
      <c r="O27" s="32" t="s">
        <v>383</v>
      </c>
      <c r="P27" s="41" t="s">
        <v>384</v>
      </c>
      <c r="Q27" s="131" t="s">
        <v>143</v>
      </c>
      <c r="R27" s="32" t="s">
        <v>144</v>
      </c>
      <c r="S27" s="23" t="s">
        <v>23</v>
      </c>
      <c r="T27" s="161"/>
    </row>
    <row r="28" spans="1:20" ht="14.85" customHeight="1" thickBot="1" x14ac:dyDescent="0.3">
      <c r="A28" s="135"/>
      <c r="B28" s="135">
        <v>4510280</v>
      </c>
      <c r="C28" s="149"/>
      <c r="D28" s="188">
        <v>4510280</v>
      </c>
      <c r="E28" s="137" t="s">
        <v>357</v>
      </c>
      <c r="F28" s="138" t="s">
        <v>385</v>
      </c>
      <c r="G28" s="135" t="s">
        <v>359</v>
      </c>
      <c r="H28" s="23" t="s">
        <v>56</v>
      </c>
      <c r="I28" s="135" t="s">
        <v>16</v>
      </c>
      <c r="J28" s="139" t="s">
        <v>17</v>
      </c>
      <c r="K28" s="212" t="s">
        <v>280</v>
      </c>
      <c r="L28" s="140"/>
      <c r="M28" s="140"/>
      <c r="N28" s="140"/>
      <c r="O28" s="136"/>
      <c r="P28" s="136"/>
      <c r="Q28" s="138"/>
      <c r="R28" s="136"/>
      <c r="S28" s="135" t="s">
        <v>28</v>
      </c>
      <c r="T28" s="189"/>
    </row>
    <row r="29" spans="1:20" ht="14.85" customHeight="1" thickBot="1" x14ac:dyDescent="0.3">
      <c r="A29" s="23" t="s">
        <v>121</v>
      </c>
      <c r="B29" s="23">
        <v>4510011</v>
      </c>
      <c r="C29" s="148" t="s">
        <v>386</v>
      </c>
      <c r="D29" s="171">
        <v>4510011</v>
      </c>
      <c r="E29" s="132" t="s">
        <v>357</v>
      </c>
      <c r="F29" s="172" t="s">
        <v>386</v>
      </c>
      <c r="G29" s="133" t="s">
        <v>359</v>
      </c>
      <c r="H29" s="133" t="s">
        <v>56</v>
      </c>
      <c r="I29" s="133" t="s">
        <v>16</v>
      </c>
      <c r="J29" s="173" t="s">
        <v>17</v>
      </c>
      <c r="K29" s="192" t="s">
        <v>280</v>
      </c>
      <c r="L29" s="174"/>
      <c r="M29" s="183" t="s">
        <v>360</v>
      </c>
      <c r="N29" s="183" t="s">
        <v>361</v>
      </c>
      <c r="O29" s="184" t="s">
        <v>362</v>
      </c>
      <c r="P29" s="185" t="s">
        <v>363</v>
      </c>
      <c r="Q29" s="172"/>
      <c r="R29" s="175"/>
      <c r="S29" s="133" t="s">
        <v>23</v>
      </c>
      <c r="T29" s="177"/>
    </row>
    <row r="30" spans="1:20" ht="14.85" customHeight="1" x14ac:dyDescent="0.25">
      <c r="A30" s="128" t="s">
        <v>146</v>
      </c>
      <c r="B30" s="129">
        <v>4512010</v>
      </c>
      <c r="C30" s="130" t="s">
        <v>387</v>
      </c>
      <c r="D30" s="194">
        <v>4512010</v>
      </c>
      <c r="E30" s="179" t="s">
        <v>146</v>
      </c>
      <c r="F30" s="195" t="s">
        <v>387</v>
      </c>
      <c r="G30" s="196" t="s">
        <v>359</v>
      </c>
      <c r="H30" s="196" t="s">
        <v>56</v>
      </c>
      <c r="I30" s="196" t="s">
        <v>16</v>
      </c>
      <c r="J30" s="182" t="s">
        <v>17</v>
      </c>
      <c r="K30" s="190" t="s">
        <v>280</v>
      </c>
      <c r="L30" s="183"/>
      <c r="M30" s="39" t="s">
        <v>388</v>
      </c>
      <c r="N30" s="214" t="s">
        <v>389</v>
      </c>
      <c r="O30" s="197" t="s">
        <v>390</v>
      </c>
      <c r="P30" s="185" t="s">
        <v>391</v>
      </c>
      <c r="Q30" s="195" t="s">
        <v>392</v>
      </c>
      <c r="R30" s="197" t="s">
        <v>393</v>
      </c>
      <c r="S30" s="196" t="s">
        <v>23</v>
      </c>
      <c r="T30" s="198"/>
    </row>
    <row r="31" spans="1:20" ht="14.85" customHeight="1" x14ac:dyDescent="0.25">
      <c r="A31" s="20" t="s">
        <v>146</v>
      </c>
      <c r="B31" s="21">
        <v>4512100</v>
      </c>
      <c r="C31" s="98" t="s">
        <v>394</v>
      </c>
      <c r="D31" s="199">
        <v>4512100</v>
      </c>
      <c r="E31" s="127" t="s">
        <v>146</v>
      </c>
      <c r="F31" s="131" t="s">
        <v>394</v>
      </c>
      <c r="G31" s="23" t="s">
        <v>359</v>
      </c>
      <c r="H31" s="23" t="s">
        <v>56</v>
      </c>
      <c r="I31" s="23" t="s">
        <v>16</v>
      </c>
      <c r="J31" s="47" t="s">
        <v>17</v>
      </c>
      <c r="K31" s="30" t="s">
        <v>280</v>
      </c>
      <c r="L31" s="39"/>
      <c r="M31" s="39" t="s">
        <v>388</v>
      </c>
      <c r="N31" s="214" t="s">
        <v>389</v>
      </c>
      <c r="O31" s="32" t="s">
        <v>395</v>
      </c>
      <c r="P31" s="41" t="s">
        <v>396</v>
      </c>
      <c r="Q31" s="131" t="s">
        <v>397</v>
      </c>
      <c r="R31" s="32" t="s">
        <v>398</v>
      </c>
      <c r="S31" s="23" t="s">
        <v>23</v>
      </c>
      <c r="T31" s="200"/>
    </row>
    <row r="32" spans="1:20" ht="14.85" customHeight="1" x14ac:dyDescent="0.25">
      <c r="A32" s="20" t="s">
        <v>146</v>
      </c>
      <c r="B32" s="21">
        <v>4512200</v>
      </c>
      <c r="C32" s="98" t="s">
        <v>399</v>
      </c>
      <c r="D32" s="199">
        <v>4512200</v>
      </c>
      <c r="E32" s="127" t="s">
        <v>146</v>
      </c>
      <c r="F32" s="131" t="s">
        <v>400</v>
      </c>
      <c r="G32" s="23" t="s">
        <v>359</v>
      </c>
      <c r="H32" s="23" t="s">
        <v>56</v>
      </c>
      <c r="I32" s="23" t="s">
        <v>16</v>
      </c>
      <c r="J32" s="47" t="s">
        <v>17</v>
      </c>
      <c r="K32" s="30" t="s">
        <v>280</v>
      </c>
      <c r="L32" s="39"/>
      <c r="M32" s="39" t="s">
        <v>388</v>
      </c>
      <c r="N32" s="214" t="s">
        <v>389</v>
      </c>
      <c r="O32" s="32" t="s">
        <v>401</v>
      </c>
      <c r="P32" s="41" t="s">
        <v>402</v>
      </c>
      <c r="Q32" s="131" t="s">
        <v>403</v>
      </c>
      <c r="R32" s="32" t="s">
        <v>404</v>
      </c>
      <c r="S32" s="23" t="s">
        <v>23</v>
      </c>
      <c r="T32" s="200"/>
    </row>
    <row r="33" spans="1:20" ht="14.85" customHeight="1" x14ac:dyDescent="0.25">
      <c r="A33" s="20" t="s">
        <v>146</v>
      </c>
      <c r="B33" s="21">
        <v>4512300</v>
      </c>
      <c r="C33" s="98" t="s">
        <v>405</v>
      </c>
      <c r="D33" s="199">
        <v>4512300</v>
      </c>
      <c r="E33" s="127" t="s">
        <v>146</v>
      </c>
      <c r="F33" s="131" t="s">
        <v>406</v>
      </c>
      <c r="G33" s="23" t="s">
        <v>359</v>
      </c>
      <c r="H33" s="23" t="s">
        <v>56</v>
      </c>
      <c r="I33" s="23" t="s">
        <v>16</v>
      </c>
      <c r="J33" s="47" t="s">
        <v>17</v>
      </c>
      <c r="K33" s="30" t="s">
        <v>280</v>
      </c>
      <c r="L33" s="39"/>
      <c r="M33" s="39" t="s">
        <v>388</v>
      </c>
      <c r="N33" s="214" t="s">
        <v>389</v>
      </c>
      <c r="O33" s="32" t="s">
        <v>407</v>
      </c>
      <c r="P33" s="41" t="s">
        <v>408</v>
      </c>
      <c r="Q33" s="131" t="s">
        <v>409</v>
      </c>
      <c r="R33" s="32" t="s">
        <v>410</v>
      </c>
      <c r="S33" s="23" t="s">
        <v>23</v>
      </c>
      <c r="T33" s="200"/>
    </row>
    <row r="34" spans="1:20" ht="14.85" customHeight="1" x14ac:dyDescent="0.25">
      <c r="A34" s="20" t="s">
        <v>146</v>
      </c>
      <c r="B34" s="21">
        <v>4512500</v>
      </c>
      <c r="C34" s="98" t="s">
        <v>411</v>
      </c>
      <c r="D34" s="199">
        <v>4512500</v>
      </c>
      <c r="E34" s="127" t="s">
        <v>146</v>
      </c>
      <c r="F34" s="131" t="s">
        <v>412</v>
      </c>
      <c r="G34" s="23" t="s">
        <v>359</v>
      </c>
      <c r="H34" s="23" t="s">
        <v>56</v>
      </c>
      <c r="I34" s="23" t="s">
        <v>16</v>
      </c>
      <c r="J34" s="47" t="s">
        <v>17</v>
      </c>
      <c r="K34" s="30" t="s">
        <v>280</v>
      </c>
      <c r="L34" s="39"/>
      <c r="M34" s="39" t="s">
        <v>388</v>
      </c>
      <c r="N34" s="214" t="s">
        <v>389</v>
      </c>
      <c r="O34" s="32" t="s">
        <v>413</v>
      </c>
      <c r="P34" s="41" t="s">
        <v>414</v>
      </c>
      <c r="Q34" s="131" t="s">
        <v>415</v>
      </c>
      <c r="R34" s="32" t="s">
        <v>416</v>
      </c>
      <c r="S34" s="23" t="s">
        <v>23</v>
      </c>
      <c r="T34" s="200"/>
    </row>
    <row r="35" spans="1:20" ht="14.85" customHeight="1" x14ac:dyDescent="0.25">
      <c r="A35" s="20" t="s">
        <v>53</v>
      </c>
      <c r="B35" s="21">
        <v>4518113</v>
      </c>
      <c r="C35" s="98" t="s">
        <v>417</v>
      </c>
      <c r="D35" s="199">
        <v>4518113</v>
      </c>
      <c r="E35" s="127" t="s">
        <v>146</v>
      </c>
      <c r="F35" s="131" t="s">
        <v>418</v>
      </c>
      <c r="G35" s="23" t="s">
        <v>359</v>
      </c>
      <c r="H35" s="23" t="s">
        <v>56</v>
      </c>
      <c r="I35" s="23" t="s">
        <v>16</v>
      </c>
      <c r="J35" s="47" t="s">
        <v>17</v>
      </c>
      <c r="K35" s="30" t="s">
        <v>280</v>
      </c>
      <c r="L35" s="39"/>
      <c r="M35" s="39" t="s">
        <v>419</v>
      </c>
      <c r="N35" s="214" t="s">
        <v>420</v>
      </c>
      <c r="O35" s="32" t="s">
        <v>421</v>
      </c>
      <c r="P35" s="41" t="s">
        <v>422</v>
      </c>
      <c r="Q35" s="131" t="s">
        <v>423</v>
      </c>
      <c r="R35" s="32" t="s">
        <v>424</v>
      </c>
      <c r="S35" s="23" t="s">
        <v>23</v>
      </c>
      <c r="T35" s="200"/>
    </row>
    <row r="36" spans="1:20" ht="14.85" customHeight="1" x14ac:dyDescent="0.25">
      <c r="A36" s="20"/>
      <c r="B36" s="21"/>
      <c r="C36" s="98"/>
      <c r="D36" s="199">
        <v>4512600</v>
      </c>
      <c r="E36" s="127" t="s">
        <v>146</v>
      </c>
      <c r="F36" s="144" t="s">
        <v>425</v>
      </c>
      <c r="G36" s="152" t="s">
        <v>359</v>
      </c>
      <c r="H36" s="152" t="s">
        <v>56</v>
      </c>
      <c r="I36" s="152" t="s">
        <v>16</v>
      </c>
      <c r="J36" s="47" t="s">
        <v>17</v>
      </c>
      <c r="K36" s="30" t="s">
        <v>280</v>
      </c>
      <c r="L36" s="39"/>
      <c r="M36" s="39" t="s">
        <v>388</v>
      </c>
      <c r="N36" s="214" t="s">
        <v>389</v>
      </c>
      <c r="O36" s="193" t="s">
        <v>426</v>
      </c>
      <c r="P36" s="41" t="s">
        <v>427</v>
      </c>
      <c r="Q36" s="144" t="s">
        <v>428</v>
      </c>
      <c r="R36" s="193" t="s">
        <v>429</v>
      </c>
      <c r="S36" s="152" t="s">
        <v>23</v>
      </c>
      <c r="T36" s="200"/>
    </row>
    <row r="37" spans="1:20" ht="14.85" customHeight="1" thickBot="1" x14ac:dyDescent="0.3">
      <c r="A37" s="135"/>
      <c r="B37" s="135"/>
      <c r="C37" s="149"/>
      <c r="D37" s="201">
        <v>4512700</v>
      </c>
      <c r="E37" s="202" t="s">
        <v>146</v>
      </c>
      <c r="F37" s="203" t="s">
        <v>430</v>
      </c>
      <c r="G37" s="204" t="s">
        <v>359</v>
      </c>
      <c r="H37" s="133" t="s">
        <v>56</v>
      </c>
      <c r="I37" s="204" t="s">
        <v>16</v>
      </c>
      <c r="J37" s="205" t="s">
        <v>17</v>
      </c>
      <c r="K37" s="213" t="s">
        <v>280</v>
      </c>
      <c r="L37" s="206"/>
      <c r="M37" s="206"/>
      <c r="N37" s="206"/>
      <c r="O37" s="207"/>
      <c r="P37" s="207"/>
      <c r="Q37" s="203"/>
      <c r="R37" s="207"/>
      <c r="S37" s="204" t="s">
        <v>28</v>
      </c>
      <c r="T37" s="208"/>
    </row>
    <row r="38" spans="1:20" ht="14.85" customHeight="1" x14ac:dyDescent="0.25">
      <c r="A38" s="23" t="s">
        <v>164</v>
      </c>
      <c r="B38" s="23">
        <v>4513110</v>
      </c>
      <c r="C38" s="148" t="s">
        <v>170</v>
      </c>
      <c r="D38" s="178">
        <v>4513110</v>
      </c>
      <c r="E38" s="179" t="s">
        <v>164</v>
      </c>
      <c r="F38" s="186" t="s">
        <v>431</v>
      </c>
      <c r="G38" s="181" t="s">
        <v>432</v>
      </c>
      <c r="H38" s="181" t="s">
        <v>167</v>
      </c>
      <c r="I38" s="181" t="s">
        <v>373</v>
      </c>
      <c r="J38" s="182" t="s">
        <v>374</v>
      </c>
      <c r="K38" s="190" t="s">
        <v>151</v>
      </c>
      <c r="L38" s="183"/>
      <c r="M38" s="39" t="s">
        <v>419</v>
      </c>
      <c r="N38" s="214" t="s">
        <v>420</v>
      </c>
      <c r="O38" s="184" t="s">
        <v>171</v>
      </c>
      <c r="P38" s="185" t="s">
        <v>433</v>
      </c>
      <c r="Q38" s="186" t="s">
        <v>172</v>
      </c>
      <c r="R38" s="184" t="s">
        <v>173</v>
      </c>
      <c r="S38" s="181" t="s">
        <v>23</v>
      </c>
      <c r="T38" s="187"/>
    </row>
    <row r="39" spans="1:20" ht="14.85" customHeight="1" x14ac:dyDescent="0.25">
      <c r="A39" s="23" t="s">
        <v>164</v>
      </c>
      <c r="B39" s="23">
        <v>4513120</v>
      </c>
      <c r="C39" s="148" t="s">
        <v>434</v>
      </c>
      <c r="D39" s="160">
        <v>4513120</v>
      </c>
      <c r="E39" s="127" t="s">
        <v>164</v>
      </c>
      <c r="F39" s="131" t="s">
        <v>434</v>
      </c>
      <c r="G39" s="23" t="s">
        <v>432</v>
      </c>
      <c r="H39" s="23" t="s">
        <v>167</v>
      </c>
      <c r="I39" s="23" t="s">
        <v>373</v>
      </c>
      <c r="J39" s="47" t="s">
        <v>374</v>
      </c>
      <c r="K39" s="30" t="s">
        <v>151</v>
      </c>
      <c r="L39" s="39"/>
      <c r="M39" s="39" t="s">
        <v>419</v>
      </c>
      <c r="N39" s="39" t="s">
        <v>420</v>
      </c>
      <c r="O39" s="32" t="s">
        <v>435</v>
      </c>
      <c r="P39" s="41" t="s">
        <v>436</v>
      </c>
      <c r="Q39" s="131" t="s">
        <v>172</v>
      </c>
      <c r="R39" s="32" t="s">
        <v>173</v>
      </c>
      <c r="S39" s="23" t="s">
        <v>23</v>
      </c>
      <c r="T39" s="161"/>
    </row>
    <row r="40" spans="1:20" ht="14.85" customHeight="1" x14ac:dyDescent="0.25">
      <c r="A40" s="23" t="s">
        <v>164</v>
      </c>
      <c r="B40" s="23">
        <v>4513130</v>
      </c>
      <c r="C40" s="148" t="s">
        <v>177</v>
      </c>
      <c r="D40" s="160">
        <v>4513130</v>
      </c>
      <c r="E40" s="127" t="s">
        <v>164</v>
      </c>
      <c r="F40" s="131" t="s">
        <v>177</v>
      </c>
      <c r="G40" s="23" t="s">
        <v>432</v>
      </c>
      <c r="H40" s="23" t="s">
        <v>167</v>
      </c>
      <c r="I40" s="23" t="s">
        <v>373</v>
      </c>
      <c r="J40" s="47" t="s">
        <v>374</v>
      </c>
      <c r="K40" s="30" t="s">
        <v>151</v>
      </c>
      <c r="L40" s="39"/>
      <c r="M40" s="39" t="s">
        <v>419</v>
      </c>
      <c r="N40" s="39" t="s">
        <v>420</v>
      </c>
      <c r="O40" s="32" t="s">
        <v>178</v>
      </c>
      <c r="P40" s="41" t="s">
        <v>437</v>
      </c>
      <c r="Q40" s="131" t="s">
        <v>172</v>
      </c>
      <c r="R40" s="32" t="s">
        <v>173</v>
      </c>
      <c r="S40" s="23" t="s">
        <v>23</v>
      </c>
      <c r="T40" s="161"/>
    </row>
    <row r="41" spans="1:20" ht="14.85" customHeight="1" x14ac:dyDescent="0.25">
      <c r="A41" s="23" t="s">
        <v>164</v>
      </c>
      <c r="B41" s="23">
        <v>4513140</v>
      </c>
      <c r="C41" s="148" t="s">
        <v>438</v>
      </c>
      <c r="D41" s="160">
        <v>4513140</v>
      </c>
      <c r="E41" s="127" t="s">
        <v>164</v>
      </c>
      <c r="F41" s="131" t="s">
        <v>438</v>
      </c>
      <c r="G41" s="23" t="s">
        <v>432</v>
      </c>
      <c r="H41" s="23" t="s">
        <v>167</v>
      </c>
      <c r="I41" s="23" t="s">
        <v>373</v>
      </c>
      <c r="J41" s="47" t="s">
        <v>374</v>
      </c>
      <c r="K41" s="30" t="s">
        <v>151</v>
      </c>
      <c r="L41" s="39"/>
      <c r="M41" s="39" t="s">
        <v>419</v>
      </c>
      <c r="N41" s="39" t="s">
        <v>420</v>
      </c>
      <c r="O41" s="32" t="s">
        <v>180</v>
      </c>
      <c r="P41" s="41" t="s">
        <v>439</v>
      </c>
      <c r="Q41" s="131" t="s">
        <v>172</v>
      </c>
      <c r="R41" s="32" t="s">
        <v>173</v>
      </c>
      <c r="S41" s="23" t="s">
        <v>23</v>
      </c>
      <c r="T41" s="161"/>
    </row>
    <row r="42" spans="1:20" ht="14.85" customHeight="1" thickBot="1" x14ac:dyDescent="0.3">
      <c r="A42" s="135" t="s">
        <v>164</v>
      </c>
      <c r="B42" s="135">
        <v>4513111</v>
      </c>
      <c r="C42" s="149" t="s">
        <v>440</v>
      </c>
      <c r="D42" s="201">
        <v>4513111</v>
      </c>
      <c r="E42" s="202" t="s">
        <v>164</v>
      </c>
      <c r="F42" s="203" t="s">
        <v>440</v>
      </c>
      <c r="G42" s="204"/>
      <c r="H42" s="133"/>
      <c r="I42" s="204" t="s">
        <v>373</v>
      </c>
      <c r="J42" s="205" t="s">
        <v>374</v>
      </c>
      <c r="K42" s="213" t="s">
        <v>151</v>
      </c>
      <c r="L42" s="206"/>
      <c r="M42" s="206"/>
      <c r="N42" s="206"/>
      <c r="O42" s="207"/>
      <c r="P42" s="207"/>
      <c r="Q42" s="203"/>
      <c r="R42" s="207"/>
      <c r="S42" s="204" t="s">
        <v>28</v>
      </c>
      <c r="T42" s="208"/>
    </row>
    <row r="43" spans="1:20" ht="14.85" customHeight="1" thickBot="1" x14ac:dyDescent="0.3">
      <c r="A43" s="23" t="s">
        <v>183</v>
      </c>
      <c r="B43" s="23">
        <v>4510201</v>
      </c>
      <c r="C43" s="148" t="s">
        <v>441</v>
      </c>
      <c r="D43" s="178">
        <v>4510201</v>
      </c>
      <c r="E43" s="179" t="s">
        <v>183</v>
      </c>
      <c r="F43" s="186" t="s">
        <v>441</v>
      </c>
      <c r="G43" s="181" t="s">
        <v>279</v>
      </c>
      <c r="H43" s="181" t="s">
        <v>15</v>
      </c>
      <c r="I43" s="181" t="s">
        <v>442</v>
      </c>
      <c r="J43" s="182" t="s">
        <v>443</v>
      </c>
      <c r="K43" s="190" t="s">
        <v>151</v>
      </c>
      <c r="L43" s="183"/>
      <c r="M43" s="183" t="s">
        <v>360</v>
      </c>
      <c r="N43" s="183" t="s">
        <v>361</v>
      </c>
      <c r="O43" s="184" t="s">
        <v>186</v>
      </c>
      <c r="P43" s="185" t="s">
        <v>444</v>
      </c>
      <c r="Q43" s="186" t="s">
        <v>445</v>
      </c>
      <c r="R43" s="185" t="s">
        <v>446</v>
      </c>
      <c r="S43" s="181" t="s">
        <v>23</v>
      </c>
      <c r="T43" s="187"/>
    </row>
    <row r="44" spans="1:20" ht="14.85" customHeight="1" thickBot="1" x14ac:dyDescent="0.3">
      <c r="A44" s="23" t="s">
        <v>183</v>
      </c>
      <c r="B44" s="23">
        <v>4510210</v>
      </c>
      <c r="C44" s="148" t="s">
        <v>447</v>
      </c>
      <c r="D44" s="160">
        <v>4510210</v>
      </c>
      <c r="E44" s="127" t="s">
        <v>183</v>
      </c>
      <c r="F44" s="131" t="s">
        <v>447</v>
      </c>
      <c r="G44" s="23" t="s">
        <v>279</v>
      </c>
      <c r="H44" s="23" t="s">
        <v>15</v>
      </c>
      <c r="I44" s="23" t="s">
        <v>442</v>
      </c>
      <c r="J44" s="47" t="s">
        <v>443</v>
      </c>
      <c r="K44" s="30" t="s">
        <v>151</v>
      </c>
      <c r="L44" s="39"/>
      <c r="M44" s="183" t="s">
        <v>360</v>
      </c>
      <c r="N44" s="183" t="s">
        <v>361</v>
      </c>
      <c r="O44" s="32" t="s">
        <v>448</v>
      </c>
      <c r="P44" s="41" t="s">
        <v>449</v>
      </c>
      <c r="Q44" s="131" t="s">
        <v>192</v>
      </c>
      <c r="R44" s="32" t="s">
        <v>193</v>
      </c>
      <c r="S44" s="23" t="s">
        <v>23</v>
      </c>
      <c r="T44" s="161"/>
    </row>
    <row r="45" spans="1:20" ht="14.85" customHeight="1" thickBot="1" x14ac:dyDescent="0.3">
      <c r="A45" s="23" t="s">
        <v>183</v>
      </c>
      <c r="B45" s="23">
        <v>4510220</v>
      </c>
      <c r="C45" s="148" t="s">
        <v>450</v>
      </c>
      <c r="D45" s="160">
        <v>4510220</v>
      </c>
      <c r="E45" s="127" t="s">
        <v>183</v>
      </c>
      <c r="F45" s="131" t="s">
        <v>450</v>
      </c>
      <c r="G45" s="23" t="s">
        <v>279</v>
      </c>
      <c r="H45" s="23" t="s">
        <v>15</v>
      </c>
      <c r="I45" s="23" t="s">
        <v>442</v>
      </c>
      <c r="J45" s="47" t="s">
        <v>443</v>
      </c>
      <c r="K45" s="30" t="s">
        <v>151</v>
      </c>
      <c r="L45" s="39"/>
      <c r="M45" s="183" t="s">
        <v>360</v>
      </c>
      <c r="N45" s="183" t="s">
        <v>361</v>
      </c>
      <c r="O45" s="32" t="s">
        <v>196</v>
      </c>
      <c r="P45" s="41" t="s">
        <v>451</v>
      </c>
      <c r="Q45" s="131" t="s">
        <v>197</v>
      </c>
      <c r="R45" s="32" t="s">
        <v>198</v>
      </c>
      <c r="S45" s="23" t="s">
        <v>23</v>
      </c>
      <c r="T45" s="161"/>
    </row>
    <row r="46" spans="1:20" ht="14.85" customHeight="1" thickBot="1" x14ac:dyDescent="0.3">
      <c r="A46" s="23" t="s">
        <v>183</v>
      </c>
      <c r="B46" s="23">
        <v>4510240</v>
      </c>
      <c r="C46" s="148" t="s">
        <v>452</v>
      </c>
      <c r="D46" s="160">
        <v>4510240</v>
      </c>
      <c r="E46" s="127" t="s">
        <v>183</v>
      </c>
      <c r="F46" s="131" t="s">
        <v>452</v>
      </c>
      <c r="G46" s="23" t="s">
        <v>279</v>
      </c>
      <c r="H46" s="23" t="s">
        <v>15</v>
      </c>
      <c r="I46" s="23" t="s">
        <v>442</v>
      </c>
      <c r="J46" s="47" t="s">
        <v>443</v>
      </c>
      <c r="K46" s="30" t="s">
        <v>151</v>
      </c>
      <c r="L46" s="39"/>
      <c r="M46" s="183" t="s">
        <v>360</v>
      </c>
      <c r="N46" s="183" t="s">
        <v>361</v>
      </c>
      <c r="O46" s="32" t="s">
        <v>201</v>
      </c>
      <c r="P46" s="41" t="s">
        <v>453</v>
      </c>
      <c r="Q46" s="131" t="s">
        <v>202</v>
      </c>
      <c r="R46" s="32" t="s">
        <v>454</v>
      </c>
      <c r="S46" s="23" t="s">
        <v>23</v>
      </c>
      <c r="T46" s="161"/>
    </row>
    <row r="47" spans="1:20" ht="14.85" customHeight="1" thickBot="1" x14ac:dyDescent="0.3">
      <c r="A47" s="23" t="s">
        <v>183</v>
      </c>
      <c r="B47" s="23">
        <v>4510250</v>
      </c>
      <c r="C47" s="148" t="s">
        <v>455</v>
      </c>
      <c r="D47" s="160">
        <v>4510250</v>
      </c>
      <c r="E47" s="127" t="s">
        <v>183</v>
      </c>
      <c r="F47" s="131" t="s">
        <v>456</v>
      </c>
      <c r="G47" s="23" t="s">
        <v>457</v>
      </c>
      <c r="H47" s="23" t="s">
        <v>213</v>
      </c>
      <c r="I47" s="23" t="s">
        <v>442</v>
      </c>
      <c r="J47" s="47" t="s">
        <v>443</v>
      </c>
      <c r="K47" s="30" t="s">
        <v>151</v>
      </c>
      <c r="L47" s="39"/>
      <c r="M47" s="183" t="s">
        <v>360</v>
      </c>
      <c r="N47" s="183" t="s">
        <v>361</v>
      </c>
      <c r="O47" s="32" t="s">
        <v>208</v>
      </c>
      <c r="P47" s="41" t="s">
        <v>458</v>
      </c>
      <c r="Q47" s="131" t="s">
        <v>209</v>
      </c>
      <c r="R47" s="32" t="s">
        <v>210</v>
      </c>
      <c r="S47" s="23" t="s">
        <v>23</v>
      </c>
      <c r="T47" s="161"/>
    </row>
    <row r="48" spans="1:20" ht="14.85" customHeight="1" thickBot="1" x14ac:dyDescent="0.3">
      <c r="A48" s="23" t="s">
        <v>183</v>
      </c>
      <c r="B48" s="23">
        <v>4510230</v>
      </c>
      <c r="C48" s="148" t="s">
        <v>214</v>
      </c>
      <c r="D48" s="160">
        <v>4510230</v>
      </c>
      <c r="E48" s="127" t="s">
        <v>183</v>
      </c>
      <c r="F48" s="131" t="s">
        <v>214</v>
      </c>
      <c r="G48" s="23" t="s">
        <v>279</v>
      </c>
      <c r="H48" s="23" t="s">
        <v>15</v>
      </c>
      <c r="I48" s="23" t="s">
        <v>442</v>
      </c>
      <c r="J48" s="47" t="s">
        <v>443</v>
      </c>
      <c r="K48" s="30" t="s">
        <v>151</v>
      </c>
      <c r="L48" s="39"/>
      <c r="M48" s="183" t="s">
        <v>360</v>
      </c>
      <c r="N48" s="214" t="s">
        <v>361</v>
      </c>
      <c r="O48" s="32" t="s">
        <v>459</v>
      </c>
      <c r="P48" s="41"/>
      <c r="Q48" s="131" t="s">
        <v>460</v>
      </c>
      <c r="R48" s="32" t="s">
        <v>461</v>
      </c>
      <c r="S48" s="23" t="s">
        <v>23</v>
      </c>
      <c r="T48" s="161"/>
    </row>
    <row r="49" spans="1:20" ht="14.85" customHeight="1" thickBot="1" x14ac:dyDescent="0.3">
      <c r="A49" s="23" t="s">
        <v>216</v>
      </c>
      <c r="B49" s="23">
        <v>4510170</v>
      </c>
      <c r="C49" s="148" t="s">
        <v>462</v>
      </c>
      <c r="D49" s="171">
        <v>4510170</v>
      </c>
      <c r="E49" s="132" t="s">
        <v>183</v>
      </c>
      <c r="F49" s="172" t="s">
        <v>462</v>
      </c>
      <c r="G49" s="133" t="s">
        <v>279</v>
      </c>
      <c r="H49" s="133" t="s">
        <v>15</v>
      </c>
      <c r="I49" s="133" t="s">
        <v>442</v>
      </c>
      <c r="J49" s="173" t="s">
        <v>443</v>
      </c>
      <c r="K49" s="192" t="s">
        <v>151</v>
      </c>
      <c r="L49" s="174"/>
      <c r="M49" s="183" t="s">
        <v>360</v>
      </c>
      <c r="N49" s="215" t="s">
        <v>361</v>
      </c>
      <c r="O49" s="175" t="s">
        <v>221</v>
      </c>
      <c r="P49" s="176" t="s">
        <v>463</v>
      </c>
      <c r="Q49" s="172" t="s">
        <v>464</v>
      </c>
      <c r="R49" s="175" t="s">
        <v>223</v>
      </c>
      <c r="S49" s="133" t="s">
        <v>23</v>
      </c>
      <c r="T49" s="177"/>
    </row>
    <row r="50" spans="1:20" ht="14.85" customHeight="1" x14ac:dyDescent="0.25">
      <c r="A50" s="23" t="s">
        <v>216</v>
      </c>
      <c r="B50" s="23">
        <v>4515300</v>
      </c>
      <c r="C50" s="148" t="s">
        <v>465</v>
      </c>
      <c r="D50" s="194">
        <v>4515300</v>
      </c>
      <c r="E50" s="179" t="s">
        <v>216</v>
      </c>
      <c r="F50" s="195" t="s">
        <v>465</v>
      </c>
      <c r="G50" s="196" t="s">
        <v>466</v>
      </c>
      <c r="H50" s="196" t="s">
        <v>232</v>
      </c>
      <c r="I50" s="196" t="s">
        <v>368</v>
      </c>
      <c r="J50" s="182" t="s">
        <v>369</v>
      </c>
      <c r="K50" s="190" t="s">
        <v>151</v>
      </c>
      <c r="L50" s="183"/>
      <c r="M50" s="39" t="s">
        <v>467</v>
      </c>
      <c r="N50" s="216" t="s">
        <v>468</v>
      </c>
      <c r="O50" s="197" t="s">
        <v>469</v>
      </c>
      <c r="P50" s="185" t="s">
        <v>470</v>
      </c>
      <c r="Q50" s="195" t="s">
        <v>471</v>
      </c>
      <c r="R50" s="197" t="s">
        <v>229</v>
      </c>
      <c r="S50" s="196" t="s">
        <v>23</v>
      </c>
      <c r="T50" s="198"/>
    </row>
    <row r="51" spans="1:20" ht="14.85" customHeight="1" x14ac:dyDescent="0.25">
      <c r="A51" s="23" t="s">
        <v>216</v>
      </c>
      <c r="B51" s="23">
        <v>4515400</v>
      </c>
      <c r="C51" s="148" t="s">
        <v>233</v>
      </c>
      <c r="D51" s="199">
        <v>4515400</v>
      </c>
      <c r="E51" s="127" t="s">
        <v>216</v>
      </c>
      <c r="F51" s="131" t="s">
        <v>233</v>
      </c>
      <c r="G51" s="23" t="s">
        <v>466</v>
      </c>
      <c r="H51" s="23" t="s">
        <v>232</v>
      </c>
      <c r="I51" s="152" t="s">
        <v>472</v>
      </c>
      <c r="J51" s="47" t="s">
        <v>473</v>
      </c>
      <c r="K51" s="30" t="s">
        <v>151</v>
      </c>
      <c r="L51" s="39"/>
      <c r="M51" s="39" t="s">
        <v>467</v>
      </c>
      <c r="N51" s="216" t="s">
        <v>468</v>
      </c>
      <c r="O51" s="32" t="s">
        <v>234</v>
      </c>
      <c r="P51" s="41" t="s">
        <v>474</v>
      </c>
      <c r="Q51" s="131" t="s">
        <v>475</v>
      </c>
      <c r="R51" s="32" t="s">
        <v>476</v>
      </c>
      <c r="S51" s="23" t="s">
        <v>23</v>
      </c>
      <c r="T51" s="200"/>
    </row>
    <row r="52" spans="1:20" ht="14.85" customHeight="1" x14ac:dyDescent="0.25">
      <c r="A52" s="23" t="s">
        <v>216</v>
      </c>
      <c r="B52" s="23">
        <v>4515500</v>
      </c>
      <c r="C52" s="148" t="s">
        <v>240</v>
      </c>
      <c r="D52" s="199">
        <v>4515500</v>
      </c>
      <c r="E52" s="127" t="s">
        <v>216</v>
      </c>
      <c r="F52" s="131" t="s">
        <v>240</v>
      </c>
      <c r="G52" s="23" t="s">
        <v>477</v>
      </c>
      <c r="H52" s="23" t="s">
        <v>478</v>
      </c>
      <c r="I52" s="23" t="s">
        <v>218</v>
      </c>
      <c r="J52" s="47" t="s">
        <v>219</v>
      </c>
      <c r="K52" s="30" t="s">
        <v>151</v>
      </c>
      <c r="L52" s="39"/>
      <c r="M52" s="39" t="s">
        <v>467</v>
      </c>
      <c r="N52" s="216" t="s">
        <v>468</v>
      </c>
      <c r="O52" s="32" t="s">
        <v>241</v>
      </c>
      <c r="P52" s="41" t="s">
        <v>479</v>
      </c>
      <c r="Q52" s="131" t="s">
        <v>480</v>
      </c>
      <c r="R52" s="32" t="s">
        <v>481</v>
      </c>
      <c r="S52" s="23" t="s">
        <v>23</v>
      </c>
      <c r="T52" s="200"/>
    </row>
    <row r="53" spans="1:20" ht="14.85" customHeight="1" x14ac:dyDescent="0.25">
      <c r="A53" s="23" t="s">
        <v>216</v>
      </c>
      <c r="B53" s="23">
        <v>4515700</v>
      </c>
      <c r="C53" s="148" t="s">
        <v>482</v>
      </c>
      <c r="D53" s="199">
        <v>4515700</v>
      </c>
      <c r="E53" s="127" t="s">
        <v>216</v>
      </c>
      <c r="F53" s="131" t="s">
        <v>482</v>
      </c>
      <c r="G53" s="23" t="s">
        <v>477</v>
      </c>
      <c r="H53" s="23" t="s">
        <v>478</v>
      </c>
      <c r="I53" s="23" t="s">
        <v>218</v>
      </c>
      <c r="J53" s="47" t="s">
        <v>219</v>
      </c>
      <c r="K53" s="30" t="s">
        <v>151</v>
      </c>
      <c r="L53" s="39"/>
      <c r="M53" s="39" t="s">
        <v>467</v>
      </c>
      <c r="N53" s="216" t="s">
        <v>468</v>
      </c>
      <c r="O53" s="32" t="s">
        <v>483</v>
      </c>
      <c r="P53" s="41" t="s">
        <v>484</v>
      </c>
      <c r="Q53" s="131" t="s">
        <v>247</v>
      </c>
      <c r="R53" s="32" t="s">
        <v>248</v>
      </c>
      <c r="S53" s="23" t="s">
        <v>23</v>
      </c>
      <c r="T53" s="200"/>
    </row>
    <row r="54" spans="1:20" ht="14.85" customHeight="1" x14ac:dyDescent="0.25">
      <c r="A54" s="23" t="s">
        <v>216</v>
      </c>
      <c r="B54" s="23">
        <v>4515010</v>
      </c>
      <c r="C54" s="148" t="s">
        <v>485</v>
      </c>
      <c r="D54" s="199">
        <v>4515010</v>
      </c>
      <c r="E54" s="127" t="s">
        <v>216</v>
      </c>
      <c r="F54" s="131" t="s">
        <v>486</v>
      </c>
      <c r="G54" s="23" t="s">
        <v>477</v>
      </c>
      <c r="H54" s="23" t="s">
        <v>478</v>
      </c>
      <c r="I54" s="23" t="s">
        <v>218</v>
      </c>
      <c r="J54" s="47" t="s">
        <v>219</v>
      </c>
      <c r="K54" s="30" t="s">
        <v>151</v>
      </c>
      <c r="L54" s="39"/>
      <c r="M54" s="39" t="s">
        <v>467</v>
      </c>
      <c r="N54" s="216" t="s">
        <v>468</v>
      </c>
      <c r="O54" s="32" t="s">
        <v>487</v>
      </c>
      <c r="P54" s="41" t="s">
        <v>488</v>
      </c>
      <c r="Q54" s="131" t="s">
        <v>489</v>
      </c>
      <c r="R54" s="32" t="s">
        <v>490</v>
      </c>
      <c r="S54" s="23" t="s">
        <v>23</v>
      </c>
      <c r="T54" s="200"/>
    </row>
    <row r="55" spans="1:20" ht="14.85" customHeight="1" x14ac:dyDescent="0.25">
      <c r="A55" s="23" t="s">
        <v>216</v>
      </c>
      <c r="B55" s="23">
        <v>4515100</v>
      </c>
      <c r="C55" s="148" t="s">
        <v>491</v>
      </c>
      <c r="D55" s="199">
        <v>4515100</v>
      </c>
      <c r="E55" s="127" t="s">
        <v>216</v>
      </c>
      <c r="F55" s="131" t="s">
        <v>492</v>
      </c>
      <c r="G55" s="23" t="s">
        <v>466</v>
      </c>
      <c r="H55" s="23" t="s">
        <v>232</v>
      </c>
      <c r="I55" s="23" t="s">
        <v>218</v>
      </c>
      <c r="J55" s="47" t="s">
        <v>219</v>
      </c>
      <c r="K55" s="30" t="s">
        <v>151</v>
      </c>
      <c r="L55" s="39"/>
      <c r="M55" s="39" t="s">
        <v>467</v>
      </c>
      <c r="N55" s="216" t="s">
        <v>468</v>
      </c>
      <c r="O55" s="32" t="s">
        <v>493</v>
      </c>
      <c r="P55" s="41" t="s">
        <v>494</v>
      </c>
      <c r="Q55" s="131" t="s">
        <v>495</v>
      </c>
      <c r="R55" s="32" t="s">
        <v>496</v>
      </c>
      <c r="S55" s="23" t="s">
        <v>23</v>
      </c>
      <c r="T55" s="200"/>
    </row>
    <row r="56" spans="1:20" ht="14.85" customHeight="1" x14ac:dyDescent="0.25">
      <c r="A56" s="135" t="s">
        <v>216</v>
      </c>
      <c r="B56" s="135">
        <v>4515001</v>
      </c>
      <c r="C56" s="149" t="s">
        <v>497</v>
      </c>
      <c r="D56" s="209">
        <v>4515001</v>
      </c>
      <c r="E56" s="137" t="s">
        <v>216</v>
      </c>
      <c r="F56" s="138" t="s">
        <v>497</v>
      </c>
      <c r="G56" s="135"/>
      <c r="H56" s="23"/>
      <c r="I56" s="135" t="s">
        <v>218</v>
      </c>
      <c r="J56" s="139" t="s">
        <v>219</v>
      </c>
      <c r="K56" s="212" t="s">
        <v>151</v>
      </c>
      <c r="L56" s="140"/>
      <c r="M56" s="39" t="s">
        <v>498</v>
      </c>
      <c r="N56" s="39"/>
      <c r="O56" s="136" t="s">
        <v>260</v>
      </c>
      <c r="P56" s="136"/>
      <c r="Q56" s="138"/>
      <c r="R56" s="136"/>
      <c r="S56" s="135" t="s">
        <v>28</v>
      </c>
      <c r="T56" s="210"/>
    </row>
    <row r="57" spans="1:20" ht="14.85" customHeight="1" x14ac:dyDescent="0.25">
      <c r="A57" s="23" t="s">
        <v>216</v>
      </c>
      <c r="B57" s="23">
        <v>4515900</v>
      </c>
      <c r="C57" s="148" t="s">
        <v>499</v>
      </c>
      <c r="D57" s="199">
        <v>4515900</v>
      </c>
      <c r="E57" s="127" t="s">
        <v>216</v>
      </c>
      <c r="F57" s="144" t="s">
        <v>499</v>
      </c>
      <c r="G57" s="152" t="s">
        <v>477</v>
      </c>
      <c r="H57" s="152" t="s">
        <v>478</v>
      </c>
      <c r="I57" s="152" t="s">
        <v>472</v>
      </c>
      <c r="J57" s="47" t="s">
        <v>473</v>
      </c>
      <c r="K57" s="30" t="s">
        <v>151</v>
      </c>
      <c r="L57" s="39"/>
      <c r="M57" s="39" t="s">
        <v>467</v>
      </c>
      <c r="N57" s="216" t="s">
        <v>468</v>
      </c>
      <c r="O57" s="193" t="s">
        <v>500</v>
      </c>
      <c r="P57" s="41" t="s">
        <v>501</v>
      </c>
      <c r="Q57" s="144" t="s">
        <v>502</v>
      </c>
      <c r="R57" s="193" t="s">
        <v>503</v>
      </c>
      <c r="S57" s="152" t="s">
        <v>23</v>
      </c>
      <c r="T57" s="200"/>
    </row>
    <row r="58" spans="1:20" ht="14.85" customHeight="1" thickBot="1" x14ac:dyDescent="0.3">
      <c r="A58" s="127" t="s">
        <v>216</v>
      </c>
      <c r="B58" s="23">
        <v>4515020</v>
      </c>
      <c r="C58" s="148" t="s">
        <v>504</v>
      </c>
      <c r="D58" s="162">
        <v>4515020</v>
      </c>
      <c r="E58" s="163" t="s">
        <v>216</v>
      </c>
      <c r="F58" s="164" t="s">
        <v>504</v>
      </c>
      <c r="G58" s="165" t="s">
        <v>477</v>
      </c>
      <c r="H58" s="165" t="s">
        <v>478</v>
      </c>
      <c r="I58" s="165" t="s">
        <v>472</v>
      </c>
      <c r="J58" s="166" t="s">
        <v>473</v>
      </c>
      <c r="K58" s="191" t="s">
        <v>151</v>
      </c>
      <c r="L58" s="167"/>
      <c r="M58" s="39" t="s">
        <v>467</v>
      </c>
      <c r="N58" s="216" t="s">
        <v>468</v>
      </c>
      <c r="O58" s="168" t="s">
        <v>264</v>
      </c>
      <c r="P58" s="169" t="s">
        <v>505</v>
      </c>
      <c r="Q58" s="211" t="s">
        <v>506</v>
      </c>
      <c r="R58" s="169" t="s">
        <v>507</v>
      </c>
      <c r="S58" s="165" t="s">
        <v>23</v>
      </c>
      <c r="T58" s="170"/>
    </row>
    <row r="60" spans="1:20" ht="15.75" x14ac:dyDescent="0.25">
      <c r="L60" s="146"/>
      <c r="M60" s="146"/>
      <c r="N60" s="146"/>
    </row>
    <row r="61" spans="1:20" ht="15.75" x14ac:dyDescent="0.25">
      <c r="L61" s="146"/>
      <c r="M61" s="146"/>
      <c r="N61" s="146"/>
    </row>
    <row r="63" spans="1:20" ht="15.75" x14ac:dyDescent="0.25">
      <c r="L63" s="146"/>
      <c r="M63" s="146"/>
      <c r="N63" s="146"/>
    </row>
    <row r="64" spans="1:20" ht="15.75" x14ac:dyDescent="0.25">
      <c r="L64" s="146"/>
      <c r="M64" s="146"/>
      <c r="N64" s="146"/>
    </row>
    <row r="65" spans="6:14" ht="15.75" x14ac:dyDescent="0.25">
      <c r="L65" s="146"/>
      <c r="M65" s="146"/>
      <c r="N65" s="146"/>
    </row>
    <row r="66" spans="6:14" ht="15.75" x14ac:dyDescent="0.25">
      <c r="L66" s="146"/>
      <c r="M66" s="146"/>
      <c r="N66" s="146"/>
    </row>
    <row r="67" spans="6:14" ht="15.75" x14ac:dyDescent="0.25">
      <c r="F67" s="145"/>
      <c r="L67" s="146"/>
      <c r="M67" s="146"/>
      <c r="N67" s="146"/>
    </row>
    <row r="68" spans="6:14" ht="15.75" x14ac:dyDescent="0.25">
      <c r="F68" s="145"/>
      <c r="L68" s="146"/>
      <c r="M68" s="146"/>
      <c r="N68" s="146"/>
    </row>
    <row r="69" spans="6:14" ht="15.75" x14ac:dyDescent="0.25">
      <c r="L69" s="146"/>
      <c r="M69" s="146"/>
      <c r="N69" s="146"/>
    </row>
    <row r="70" spans="6:14" ht="15.75" x14ac:dyDescent="0.25">
      <c r="L70" s="146"/>
      <c r="M70" s="146"/>
      <c r="N70" s="146"/>
    </row>
    <row r="71" spans="6:14" ht="15.75" x14ac:dyDescent="0.25">
      <c r="L71" s="146"/>
      <c r="M71" s="146"/>
      <c r="N71" s="146"/>
    </row>
    <row r="72" spans="6:14" ht="15.75" x14ac:dyDescent="0.25">
      <c r="L72" s="146"/>
      <c r="M72" s="146"/>
      <c r="N72" s="146"/>
    </row>
    <row r="74" spans="6:14" ht="15.75" x14ac:dyDescent="0.25">
      <c r="L74" s="146"/>
      <c r="M74" s="146"/>
      <c r="N74" s="146"/>
    </row>
  </sheetData>
  <autoFilter ref="A1:T58" xr:uid="{DDA34161-DB00-450E-9BC1-E867CB4CFC79}"/>
  <hyperlinks>
    <hyperlink ref="R35" r:id="rId1" display="MMuller@dctabudhabi.ae,RFranchi@dctabudhabi.ae,BKattan@dctabudhabi.ae" xr:uid="{3B8C2D99-8601-4107-852E-8D44FFDF66A6}"/>
    <hyperlink ref="R49" r:id="rId2" xr:uid="{EA5A27B9-2C2C-44BC-94BD-5BAC2595D600}"/>
    <hyperlink ref="R50" r:id="rId3" xr:uid="{7C9CE250-469F-4F7B-B8CE-61DDB0F7120F}"/>
    <hyperlink ref="R51" r:id="rId4" xr:uid="{7E269BF8-9D74-4FC1-BE1C-8B215C079B70}"/>
    <hyperlink ref="R53" r:id="rId5" xr:uid="{4C439492-5B22-4874-BC53-009DEF79A148}"/>
    <hyperlink ref="R54" r:id="rId6" display="VGorthy@dctabudhabi.ae / " xr:uid="{095EAA61-CDEA-4A93-880D-2D9908F22BBE}"/>
    <hyperlink ref="R56" r:id="rId7" display="MEzzeldin@dctabudhabi.ae" xr:uid="{2AD526F5-D94B-44B9-8BB9-0770BDE7371C}"/>
    <hyperlink ref="R57" r:id="rId8" display="AbSBlooshi@dctabudhabi.ae" xr:uid="{C588E9D0-130E-41B9-8A77-1CD787D7FA7E}"/>
    <hyperlink ref="R17" r:id="rId9" display="AMHumaid@dctabudhabi.ae,EHashim@dctabudhabi.ae ,YElHassan@dctabudhabi.ae" xr:uid="{3629C6E2-F25A-4C95-966B-B927679E501F}"/>
    <hyperlink ref="R14" r:id="rId10" xr:uid="{6ACD2365-A7CC-4E2F-B2E8-1072B9F47DFE}"/>
    <hyperlink ref="R21" r:id="rId11" display="JMatthews@dctabudhabi.ae ,LTeneiji@dctabudhabi.ae,RAbdulJabbar@dctabudhabi.ae" xr:uid="{3D93F1EC-77C3-4D7E-B4E7-FE6AB9AA0521}"/>
    <hyperlink ref="R20" r:id="rId12" display="MOsman@dctabudhabi.ae , " xr:uid="{827ABF80-8404-4043-946A-79D251887EBE}"/>
    <hyperlink ref="R16" r:id="rId13" display="MBadi@dctabudhabi.ae" xr:uid="{353C042A-1F67-4B78-BB84-4E292FF8BE2E}"/>
    <hyperlink ref="R18" r:id="rId14" xr:uid="{121CB9BA-19D5-48BD-BB88-01D1193E16DB}"/>
    <hyperlink ref="R9" r:id="rId15" display="AAjlouni@alc.ae" xr:uid="{6DD89311-5A6C-4E99-A892-6C56DEEB6A7F}"/>
    <hyperlink ref="R8" r:id="rId16" display="ASnobar@alc.ae" xr:uid="{C23B09D7-0549-401B-A685-B50F79096F46}"/>
    <hyperlink ref="R7" r:id="rId17" display="SSaadi@alc.ae" xr:uid="{5DDF7ADC-22BC-49CC-9F5E-21D0CB889146}"/>
    <hyperlink ref="R11" r:id="rId18" display="m.alharmoodi@dctabudhabi.ae/snasri@dctabudhabi.ae" xr:uid="{30E9DC8A-06D8-4C31-97FA-4EB1C4705B18}"/>
    <hyperlink ref="R13" r:id="rId19" display="JAwadi@dctabudhabi.ae" xr:uid="{8ADCF42C-0D95-44D3-A3A4-A00FA97FC26C}"/>
    <hyperlink ref="R41" r:id="rId20" display="EFattah@dctabudhabi.ae" xr:uid="{C8AADE7C-3430-4CD0-8BC1-0B41F37287B2}"/>
    <hyperlink ref="R40" r:id="rId21" display="EFattah@dctabudhabi.ae" xr:uid="{5333CC71-374C-4858-A882-A5079C310C17}"/>
    <hyperlink ref="R39" r:id="rId22" display="EFattah@dctabudhabi.ae" xr:uid="{AC38ECB5-D451-4B1D-8528-A6FC389B8D79}"/>
    <hyperlink ref="R38" r:id="rId23" display="EFattah@dctabudhabi.ae" xr:uid="{192DDE1C-7F0B-483F-B84A-1059CA788BAF}"/>
    <hyperlink ref="R55" r:id="rId24" display="DSherif@dctabudhabi.ae /" xr:uid="{8819DA7C-B359-4816-9BDD-669F79930F67}"/>
    <hyperlink ref="J2" r:id="rId25" xr:uid="{5D805B69-E1E9-4A7B-B83E-6326D56EF9E6}"/>
    <hyperlink ref="J3" r:id="rId26" xr:uid="{58E7A42E-4AF4-44A3-B5CC-B87321A1173B}"/>
    <hyperlink ref="J4" r:id="rId27" xr:uid="{B8A4A952-D490-4607-89B1-8C0AE85E62F3}"/>
    <hyperlink ref="J5" r:id="rId28" xr:uid="{F3BF5CCB-4317-4867-A1BF-441C0126898A}"/>
    <hyperlink ref="J6" r:id="rId29" xr:uid="{F294E755-F381-47AA-A7BA-7E4A0FCEE22D}"/>
    <hyperlink ref="J7" r:id="rId30" xr:uid="{C94DF2B9-6499-4716-980E-5F28F6A0040E}"/>
    <hyperlink ref="J8" r:id="rId31" xr:uid="{BE568724-4053-47A6-AEED-F0CFAB1BEDEA}"/>
    <hyperlink ref="J9" r:id="rId32" xr:uid="{E69F5DE3-4DD6-4BDD-A5D7-015B960F79F2}"/>
    <hyperlink ref="J10" r:id="rId33" xr:uid="{A2B26F8C-AD44-4A42-9EC4-79489133F5EF}"/>
    <hyperlink ref="J38" r:id="rId34" xr:uid="{431B5C00-0998-424B-ABFA-5497360DF199}"/>
    <hyperlink ref="J39" r:id="rId35" xr:uid="{0D21B3B6-9EFC-4680-A3FA-782B11E77673}"/>
    <hyperlink ref="J40" r:id="rId36" xr:uid="{57AC0D50-1DD8-43EA-B4A6-9018F90AE7ED}"/>
    <hyperlink ref="J41" r:id="rId37" xr:uid="{794B9F4D-B564-4924-B29F-B2EEBD9AFAD5}"/>
    <hyperlink ref="J42" r:id="rId38" xr:uid="{3781D6F3-2AFF-449D-8D2C-ADFD97B284DB}"/>
    <hyperlink ref="J50" r:id="rId39" display="mailto:mgadalla@dctabudhabi.ae" xr:uid="{9A7EF811-8BF2-4BAA-9084-6A139491B436}"/>
    <hyperlink ref="R58" r:id="rId40" xr:uid="{B09C4971-82FD-4A01-87D2-660472ED1612}"/>
    <hyperlink ref="P58" r:id="rId41" xr:uid="{EB6B6512-973E-4A34-88AF-329B68303955}"/>
    <hyperlink ref="P3" r:id="rId42" xr:uid="{FB46C742-262B-4376-8AC8-9D963DF3BF91}"/>
    <hyperlink ref="P4" r:id="rId43" xr:uid="{62D15C0D-BCE5-4DE5-92CD-E8879418BFB5}"/>
    <hyperlink ref="P5" r:id="rId44" xr:uid="{FF8AA1E5-CEE0-451E-B6C3-129391B14A77}"/>
    <hyperlink ref="P9" r:id="rId45" xr:uid="{F3DBA10F-17EB-44B7-AC0D-77E6595E4D45}"/>
    <hyperlink ref="P8" r:id="rId46" xr:uid="{1022BABA-72D2-40E8-AEF5-CF9F54F10F9D}"/>
    <hyperlink ref="P7" r:id="rId47" display="mailto:alnaqbi@alc.ae" xr:uid="{F1EA7A82-BB93-42DB-93D8-6475BF81DAC2}"/>
    <hyperlink ref="P6" r:id="rId48" xr:uid="{420AC104-B710-47DB-9329-1CC08260D323}"/>
    <hyperlink ref="P10" r:id="rId49" xr:uid="{9AF42B9E-6BEF-43A0-92AD-45DD44DDCEB9}"/>
    <hyperlink ref="R10" r:id="rId50" xr:uid="{E6D98274-27F7-4959-8E61-78715DDAEF64}"/>
    <hyperlink ref="R22" r:id="rId51" display="MBadi@dctabudhabi.ae" xr:uid="{92334D21-4A11-4514-8E82-047BAB90E223}"/>
    <hyperlink ref="P17" r:id="rId52" xr:uid="{B053D1C1-55E4-4B14-957A-8B0BD940BC91}"/>
    <hyperlink ref="P44" r:id="rId53" xr:uid="{2ABC52C8-1100-407F-B27F-F87EC97E9DA2}"/>
    <hyperlink ref="P43" r:id="rId54" xr:uid="{7F5CF51B-7D34-4BFD-BCB8-1AD7F9F864DD}"/>
    <hyperlink ref="P49" r:id="rId55" xr:uid="{178F6E5F-D2F4-43DB-A72F-0937F4E2C27A}"/>
    <hyperlink ref="P45" r:id="rId56" xr:uid="{843F3D36-85A8-4066-9EA9-507E7069D730}"/>
    <hyperlink ref="P46" r:id="rId57" xr:uid="{B66AE6F3-6827-4EF5-9F71-346C23E4BE04}"/>
    <hyperlink ref="P47" r:id="rId58" xr:uid="{DEDE70F8-5171-424F-98D7-D6E83FAC6054}"/>
    <hyperlink ref="R43" r:id="rId59" xr:uid="{16D4750E-5974-46B8-9743-A44FDFFB921F}"/>
    <hyperlink ref="P55" r:id="rId60" xr:uid="{27A3C265-F4E7-4051-B963-DF5D98783514}"/>
    <hyperlink ref="J24" r:id="rId61" display="mailto:mgadalla@dctabudhabi.ae" xr:uid="{42AADAEF-46BD-4F05-A960-5BA9EE94FC8E}"/>
    <hyperlink ref="J27" r:id="rId62" display="mailto:mgadalla@dctabudhabi.ae" xr:uid="{C551E72C-2B3A-4290-A2DC-34F75C37B621}"/>
    <hyperlink ref="H58" r:id="rId63" xr:uid="{894B11A5-DDCD-4934-A916-27F866D2415C}"/>
    <hyperlink ref="H49" r:id="rId64" xr:uid="{3AA05011-B0B9-480C-A726-4EB1031B906F}"/>
    <hyperlink ref="H20" r:id="rId65" xr:uid="{12F11BB3-516B-4A70-AC28-5C498BFDC652}"/>
    <hyperlink ref="H21" r:id="rId66" xr:uid="{B0F75169-55F8-472A-A7E7-E9853B47DF6A}"/>
    <hyperlink ref="N11" r:id="rId67" xr:uid="{B1A07612-4E7A-41F4-8F63-2ACCEF57FAF4}"/>
    <hyperlink ref="N12:N14" r:id="rId68" display="mthabet@dctabudhabi.ae/asamaneh@dctabudhabi.ae" xr:uid="{4B667FFA-2B1E-47BA-959B-7E9CF77A870B}"/>
    <hyperlink ref="N16:N22" r:id="rId69" display="mthabet@dctabudhabi.ae/asamaneh@dctabudhabi.ae" xr:uid="{AC7798CE-3DAB-47AD-AA6D-8FA0B1CBC4E3}"/>
    <hyperlink ref="N18" r:id="rId70" xr:uid="{412B1A51-3DEF-4C62-9AE7-E020593D56E3}"/>
    <hyperlink ref="N50" r:id="rId71" xr:uid="{3DEA5E8E-CF09-4669-9DD8-30C051C9B840}"/>
    <hyperlink ref="N51:N55" r:id="rId72" display="mnabulsi@dctabudhabi.ae/fshraideh@dctabudhabi.ae" xr:uid="{1ACCBA2D-25A7-4150-86D0-9C3A218CAFD1}"/>
    <hyperlink ref="N57:N58" r:id="rId73" display="mnabulsi@dctabudhabi.ae/fshraideh@dctabudhabi.ae" xr:uid="{A2468BF2-370D-4527-9DD8-F61B69E46A9B}"/>
  </hyperlinks>
  <pageMargins left="0.7" right="0.7" top="0.75" bottom="0.75" header="0.3" footer="0.3"/>
  <pageSetup paperSize="9" orientation="portrait" r:id="rId7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93D1-18C3-41A2-A800-EAFF4AE2C2A5}">
  <sheetPr codeName="Sheet4"/>
  <dimension ref="B1:S58"/>
  <sheetViews>
    <sheetView showGridLines="0" zoomScale="85" zoomScaleNormal="85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2" max="2" width="36.42578125" style="1" bestFit="1" customWidth="1"/>
    <col min="3" max="3" width="18.7109375" style="1" bestFit="1" customWidth="1"/>
    <col min="4" max="4" width="53.5703125" style="17" bestFit="1" customWidth="1"/>
    <col min="5" max="5" width="25.7109375" style="17" bestFit="1" customWidth="1"/>
    <col min="6" max="6" width="35.5703125" style="100" bestFit="1" customWidth="1"/>
    <col min="7" max="7" width="66" style="17" bestFit="1" customWidth="1"/>
    <col min="8" max="8" width="43.140625" bestFit="1" customWidth="1"/>
    <col min="9" max="9" width="45.28515625" bestFit="1" customWidth="1"/>
    <col min="10" max="10" width="23.140625" style="1" customWidth="1"/>
    <col min="11" max="11" width="30.85546875" bestFit="1" customWidth="1"/>
    <col min="12" max="12" width="17" bestFit="1" customWidth="1"/>
    <col min="13" max="13" width="19" bestFit="1" customWidth="1"/>
    <col min="14" max="14" width="47.85546875" bestFit="1" customWidth="1"/>
    <col min="15" max="15" width="56" bestFit="1" customWidth="1"/>
    <col min="16" max="16" width="89.7109375" bestFit="1" customWidth="1"/>
    <col min="17" max="17" width="85.85546875" bestFit="1" customWidth="1"/>
    <col min="18" max="18" width="17.28515625" style="1" customWidth="1"/>
    <col min="19" max="19" width="21.5703125" style="1" customWidth="1"/>
  </cols>
  <sheetData>
    <row r="1" spans="2:19" s="1" customFormat="1" ht="18.75" x14ac:dyDescent="0.25">
      <c r="B1" s="19" t="s">
        <v>267</v>
      </c>
      <c r="C1" s="19" t="s">
        <v>2</v>
      </c>
      <c r="D1" s="19" t="s">
        <v>268</v>
      </c>
      <c r="E1" s="92" t="s">
        <v>269</v>
      </c>
      <c r="F1" s="92" t="s">
        <v>270</v>
      </c>
      <c r="G1" s="92" t="s">
        <v>271</v>
      </c>
      <c r="H1" s="46" t="s">
        <v>3</v>
      </c>
      <c r="I1" s="46" t="s">
        <v>4</v>
      </c>
      <c r="J1" s="92" t="s">
        <v>5</v>
      </c>
      <c r="K1" s="92" t="s">
        <v>4</v>
      </c>
      <c r="L1" s="92" t="s">
        <v>7</v>
      </c>
      <c r="M1" s="92" t="s">
        <v>272</v>
      </c>
      <c r="N1" s="19" t="s">
        <v>8</v>
      </c>
      <c r="O1" s="19" t="s">
        <v>275</v>
      </c>
      <c r="P1" s="118" t="s">
        <v>9</v>
      </c>
      <c r="Q1" s="19" t="s">
        <v>10</v>
      </c>
      <c r="R1" s="19" t="s">
        <v>11</v>
      </c>
      <c r="S1" s="35" t="s">
        <v>276</v>
      </c>
    </row>
    <row r="2" spans="2:19" ht="14.85" customHeight="1" x14ac:dyDescent="0.25">
      <c r="B2" s="20" t="s">
        <v>12</v>
      </c>
      <c r="C2" s="21">
        <v>4510195</v>
      </c>
      <c r="D2" s="98" t="s">
        <v>18</v>
      </c>
      <c r="E2" s="98">
        <v>4510195</v>
      </c>
      <c r="F2" s="99" t="s">
        <v>277</v>
      </c>
      <c r="G2" s="122" t="s">
        <v>278</v>
      </c>
      <c r="H2" s="23" t="s">
        <v>279</v>
      </c>
      <c r="I2" s="23" t="s">
        <v>15</v>
      </c>
      <c r="J2" s="22" t="s">
        <v>373</v>
      </c>
      <c r="K2" s="91" t="s">
        <v>374</v>
      </c>
      <c r="L2" s="36" t="s">
        <v>151</v>
      </c>
      <c r="M2" s="36"/>
      <c r="N2" s="20" t="s">
        <v>20</v>
      </c>
      <c r="O2" s="20" t="s">
        <v>283</v>
      </c>
      <c r="P2" s="119" t="s">
        <v>21</v>
      </c>
      <c r="Q2" s="20" t="s">
        <v>22</v>
      </c>
      <c r="R2" s="20" t="s">
        <v>23</v>
      </c>
      <c r="S2" s="49" t="s">
        <v>508</v>
      </c>
    </row>
    <row r="3" spans="2:19" ht="14.85" customHeight="1" x14ac:dyDescent="0.25">
      <c r="B3" s="20" t="s">
        <v>12</v>
      </c>
      <c r="C3" s="21">
        <v>4519196</v>
      </c>
      <c r="D3" s="98" t="s">
        <v>286</v>
      </c>
      <c r="E3" s="98">
        <v>4519196</v>
      </c>
      <c r="F3" s="99" t="s">
        <v>277</v>
      </c>
      <c r="G3" s="122" t="s">
        <v>286</v>
      </c>
      <c r="H3" s="23" t="s">
        <v>279</v>
      </c>
      <c r="I3" s="23" t="s">
        <v>15</v>
      </c>
      <c r="J3" s="22" t="s">
        <v>373</v>
      </c>
      <c r="K3" s="91" t="s">
        <v>374</v>
      </c>
      <c r="L3" s="36" t="s">
        <v>151</v>
      </c>
      <c r="M3" s="36"/>
      <c r="N3" s="20" t="s">
        <v>25</v>
      </c>
      <c r="O3" s="20"/>
      <c r="P3" s="119" t="s">
        <v>26</v>
      </c>
      <c r="Q3" s="31" t="s">
        <v>27</v>
      </c>
      <c r="R3" s="20" t="s">
        <v>28</v>
      </c>
      <c r="S3" s="49" t="s">
        <v>509</v>
      </c>
    </row>
    <row r="4" spans="2:19" ht="14.85" customHeight="1" x14ac:dyDescent="0.25">
      <c r="B4" s="20" t="s">
        <v>12</v>
      </c>
      <c r="C4" s="21">
        <v>4519197</v>
      </c>
      <c r="D4" s="98" t="s">
        <v>288</v>
      </c>
      <c r="E4" s="98">
        <v>4519197</v>
      </c>
      <c r="F4" s="99" t="s">
        <v>277</v>
      </c>
      <c r="G4" s="122" t="s">
        <v>288</v>
      </c>
      <c r="H4" s="23" t="s">
        <v>279</v>
      </c>
      <c r="I4" s="23" t="s">
        <v>15</v>
      </c>
      <c r="J4" s="22" t="s">
        <v>373</v>
      </c>
      <c r="K4" s="91" t="s">
        <v>374</v>
      </c>
      <c r="L4" s="36" t="s">
        <v>151</v>
      </c>
      <c r="M4" s="36"/>
      <c r="N4" s="20" t="s">
        <v>30</v>
      </c>
      <c r="O4" s="20"/>
      <c r="P4" s="119" t="s">
        <v>31</v>
      </c>
      <c r="Q4" s="31" t="s">
        <v>32</v>
      </c>
      <c r="R4" s="20" t="s">
        <v>28</v>
      </c>
      <c r="S4" s="49" t="s">
        <v>509</v>
      </c>
    </row>
    <row r="5" spans="2:19" ht="14.85" customHeight="1" x14ac:dyDescent="0.25">
      <c r="B5" s="20" t="s">
        <v>12</v>
      </c>
      <c r="C5" s="21">
        <v>4519199</v>
      </c>
      <c r="D5" s="98" t="s">
        <v>290</v>
      </c>
      <c r="E5" s="98">
        <v>4519199</v>
      </c>
      <c r="F5" s="99" t="s">
        <v>277</v>
      </c>
      <c r="G5" s="122" t="s">
        <v>290</v>
      </c>
      <c r="H5" s="23" t="s">
        <v>279</v>
      </c>
      <c r="I5" s="23" t="s">
        <v>15</v>
      </c>
      <c r="J5" s="22" t="s">
        <v>373</v>
      </c>
      <c r="K5" s="91" t="s">
        <v>374</v>
      </c>
      <c r="L5" s="36" t="s">
        <v>151</v>
      </c>
      <c r="M5" s="36"/>
      <c r="N5" s="20" t="s">
        <v>34</v>
      </c>
      <c r="O5" s="20"/>
      <c r="P5" s="119" t="s">
        <v>35</v>
      </c>
      <c r="Q5" s="31" t="s">
        <v>36</v>
      </c>
      <c r="R5" s="20" t="s">
        <v>28</v>
      </c>
      <c r="S5" s="49" t="s">
        <v>509</v>
      </c>
    </row>
    <row r="6" spans="2:19" ht="14.85" customHeight="1" x14ac:dyDescent="0.25">
      <c r="B6" s="20" t="s">
        <v>12</v>
      </c>
      <c r="C6" s="21">
        <v>4519200</v>
      </c>
      <c r="D6" s="98" t="s">
        <v>292</v>
      </c>
      <c r="E6" s="98">
        <v>4519200</v>
      </c>
      <c r="F6" s="99" t="s">
        <v>277</v>
      </c>
      <c r="G6" s="122" t="s">
        <v>292</v>
      </c>
      <c r="H6" s="23" t="s">
        <v>279</v>
      </c>
      <c r="I6" s="23" t="s">
        <v>15</v>
      </c>
      <c r="J6" s="22" t="s">
        <v>373</v>
      </c>
      <c r="K6" s="91" t="s">
        <v>374</v>
      </c>
      <c r="L6" s="36" t="s">
        <v>151</v>
      </c>
      <c r="M6" s="36"/>
      <c r="N6" s="20" t="s">
        <v>38</v>
      </c>
      <c r="O6" s="20"/>
      <c r="P6" s="119" t="s">
        <v>39</v>
      </c>
      <c r="Q6" s="31" t="s">
        <v>40</v>
      </c>
      <c r="R6" s="20" t="s">
        <v>28</v>
      </c>
      <c r="S6" s="49" t="s">
        <v>509</v>
      </c>
    </row>
    <row r="7" spans="2:19" ht="14.85" customHeight="1" x14ac:dyDescent="0.25">
      <c r="B7" s="20" t="s">
        <v>12</v>
      </c>
      <c r="C7" s="21">
        <v>4519201</v>
      </c>
      <c r="D7" s="98" t="s">
        <v>294</v>
      </c>
      <c r="E7" s="98">
        <v>4519201</v>
      </c>
      <c r="F7" s="99" t="s">
        <v>277</v>
      </c>
      <c r="G7" s="122" t="s">
        <v>294</v>
      </c>
      <c r="H7" s="23" t="s">
        <v>279</v>
      </c>
      <c r="I7" s="23" t="s">
        <v>15</v>
      </c>
      <c r="J7" s="22" t="s">
        <v>373</v>
      </c>
      <c r="K7" s="91" t="s">
        <v>374</v>
      </c>
      <c r="L7" s="36" t="s">
        <v>151</v>
      </c>
      <c r="M7" s="36"/>
      <c r="N7" s="20" t="s">
        <v>42</v>
      </c>
      <c r="O7" s="20"/>
      <c r="P7" s="119" t="s">
        <v>43</v>
      </c>
      <c r="Q7" s="31" t="s">
        <v>44</v>
      </c>
      <c r="R7" s="20" t="s">
        <v>28</v>
      </c>
      <c r="S7" s="49" t="s">
        <v>509</v>
      </c>
    </row>
    <row r="8" spans="2:19" ht="14.85" customHeight="1" x14ac:dyDescent="0.25">
      <c r="B8" s="20" t="s">
        <v>12</v>
      </c>
      <c r="C8" s="21">
        <v>4519202</v>
      </c>
      <c r="D8" s="98" t="s">
        <v>296</v>
      </c>
      <c r="E8" s="98">
        <v>4519202</v>
      </c>
      <c r="F8" s="99" t="s">
        <v>277</v>
      </c>
      <c r="G8" s="122" t="s">
        <v>296</v>
      </c>
      <c r="H8" s="23" t="s">
        <v>279</v>
      </c>
      <c r="I8" s="23" t="s">
        <v>15</v>
      </c>
      <c r="J8" s="22" t="s">
        <v>373</v>
      </c>
      <c r="K8" s="91" t="s">
        <v>374</v>
      </c>
      <c r="L8" s="36" t="s">
        <v>151</v>
      </c>
      <c r="M8" s="36"/>
      <c r="N8" s="20" t="s">
        <v>46</v>
      </c>
      <c r="O8" s="20"/>
      <c r="P8" s="119" t="s">
        <v>47</v>
      </c>
      <c r="Q8" s="31" t="s">
        <v>48</v>
      </c>
      <c r="R8" s="20" t="s">
        <v>28</v>
      </c>
      <c r="S8" s="49" t="s">
        <v>509</v>
      </c>
    </row>
    <row r="9" spans="2:19" ht="14.85" customHeight="1" x14ac:dyDescent="0.25">
      <c r="B9" s="20" t="s">
        <v>12</v>
      </c>
      <c r="C9" s="21">
        <v>4519203</v>
      </c>
      <c r="D9" s="98" t="s">
        <v>298</v>
      </c>
      <c r="E9" s="98">
        <v>4519203</v>
      </c>
      <c r="F9" s="99" t="s">
        <v>277</v>
      </c>
      <c r="G9" s="122" t="s">
        <v>298</v>
      </c>
      <c r="H9" s="23" t="s">
        <v>279</v>
      </c>
      <c r="I9" s="23" t="s">
        <v>15</v>
      </c>
      <c r="J9" s="22" t="s">
        <v>373</v>
      </c>
      <c r="K9" s="91" t="s">
        <v>374</v>
      </c>
      <c r="L9" s="36" t="s">
        <v>151</v>
      </c>
      <c r="M9" s="36"/>
      <c r="N9" s="20" t="s">
        <v>50</v>
      </c>
      <c r="O9" s="20"/>
      <c r="P9" s="119" t="s">
        <v>51</v>
      </c>
      <c r="Q9" s="31" t="s">
        <v>52</v>
      </c>
      <c r="R9" s="20" t="s">
        <v>28</v>
      </c>
      <c r="S9" s="49" t="s">
        <v>509</v>
      </c>
    </row>
    <row r="10" spans="2:19" ht="14.85" customHeight="1" x14ac:dyDescent="0.25">
      <c r="B10" s="20" t="s">
        <v>12</v>
      </c>
      <c r="C10" s="21">
        <v>4519204</v>
      </c>
      <c r="D10" s="98"/>
      <c r="E10" s="98">
        <v>4519204</v>
      </c>
      <c r="F10" s="99" t="s">
        <v>277</v>
      </c>
      <c r="G10" s="84" t="s">
        <v>300</v>
      </c>
      <c r="H10" s="23" t="s">
        <v>279</v>
      </c>
      <c r="I10" s="23" t="s">
        <v>15</v>
      </c>
      <c r="J10" s="22" t="s">
        <v>373</v>
      </c>
      <c r="K10" s="91" t="s">
        <v>374</v>
      </c>
      <c r="L10" s="36" t="s">
        <v>151</v>
      </c>
      <c r="M10" s="36"/>
      <c r="N10" s="20"/>
      <c r="O10" s="20"/>
      <c r="P10" s="119"/>
      <c r="Q10" s="31"/>
      <c r="R10" s="20"/>
      <c r="S10" s="49"/>
    </row>
    <row r="11" spans="2:19" ht="14.85" customHeight="1" x14ac:dyDescent="0.25">
      <c r="B11" s="20" t="s">
        <v>62</v>
      </c>
      <c r="C11" s="21">
        <v>4511300</v>
      </c>
      <c r="D11" s="98" t="s">
        <v>66</v>
      </c>
      <c r="E11" s="98">
        <v>4511300</v>
      </c>
      <c r="F11" s="99" t="s">
        <v>62</v>
      </c>
      <c r="G11" s="122" t="s">
        <v>66</v>
      </c>
      <c r="H11" s="23" t="s">
        <v>305</v>
      </c>
      <c r="I11" s="23" t="s">
        <v>65</v>
      </c>
      <c r="J11" s="22" t="s">
        <v>148</v>
      </c>
      <c r="K11" s="91" t="s">
        <v>149</v>
      </c>
      <c r="L11" s="36" t="s">
        <v>151</v>
      </c>
      <c r="M11" s="36"/>
      <c r="N11" s="20" t="s">
        <v>308</v>
      </c>
      <c r="O11" s="20" t="s">
        <v>309</v>
      </c>
      <c r="P11" s="119" t="s">
        <v>510</v>
      </c>
      <c r="Q11" s="31" t="s">
        <v>311</v>
      </c>
      <c r="R11" s="20" t="s">
        <v>23</v>
      </c>
      <c r="S11" s="49" t="s">
        <v>509</v>
      </c>
    </row>
    <row r="12" spans="2:19" ht="14.85" customHeight="1" x14ac:dyDescent="0.25">
      <c r="B12" s="20" t="s">
        <v>62</v>
      </c>
      <c r="C12" s="21">
        <v>4511600</v>
      </c>
      <c r="D12" s="98" t="s">
        <v>71</v>
      </c>
      <c r="E12" s="98">
        <v>4511600</v>
      </c>
      <c r="F12" s="99" t="s">
        <v>62</v>
      </c>
      <c r="G12" s="122" t="s">
        <v>312</v>
      </c>
      <c r="H12" s="23" t="s">
        <v>305</v>
      </c>
      <c r="I12" s="23" t="s">
        <v>65</v>
      </c>
      <c r="J12" s="22" t="s">
        <v>98</v>
      </c>
      <c r="K12" s="91" t="s">
        <v>99</v>
      </c>
      <c r="L12" s="36" t="s">
        <v>151</v>
      </c>
      <c r="M12" s="36"/>
      <c r="N12" s="20" t="s">
        <v>335</v>
      </c>
      <c r="O12" s="20" t="s">
        <v>336</v>
      </c>
      <c r="P12" s="119" t="s">
        <v>315</v>
      </c>
      <c r="Q12" s="31" t="s">
        <v>74</v>
      </c>
      <c r="R12" s="20" t="s">
        <v>23</v>
      </c>
      <c r="S12" s="49" t="s">
        <v>508</v>
      </c>
    </row>
    <row r="13" spans="2:19" ht="14.85" customHeight="1" x14ac:dyDescent="0.25">
      <c r="B13" s="20" t="s">
        <v>62</v>
      </c>
      <c r="C13" s="21">
        <v>4516100</v>
      </c>
      <c r="D13" s="98" t="s">
        <v>316</v>
      </c>
      <c r="E13" s="98">
        <v>4516100</v>
      </c>
      <c r="F13" s="99" t="s">
        <v>62</v>
      </c>
      <c r="G13" s="122" t="s">
        <v>317</v>
      </c>
      <c r="H13" s="23" t="s">
        <v>305</v>
      </c>
      <c r="I13" s="23" t="s">
        <v>65</v>
      </c>
      <c r="J13" s="22" t="s">
        <v>98</v>
      </c>
      <c r="K13" s="91" t="s">
        <v>99</v>
      </c>
      <c r="L13" s="36" t="s">
        <v>151</v>
      </c>
      <c r="M13" s="36"/>
      <c r="N13" s="20" t="s">
        <v>77</v>
      </c>
      <c r="O13" s="20" t="s">
        <v>318</v>
      </c>
      <c r="P13" s="119" t="s">
        <v>319</v>
      </c>
      <c r="Q13" s="31" t="s">
        <v>320</v>
      </c>
      <c r="R13" s="20" t="s">
        <v>23</v>
      </c>
      <c r="S13" s="49" t="s">
        <v>508</v>
      </c>
    </row>
    <row r="14" spans="2:19" ht="14.85" customHeight="1" x14ac:dyDescent="0.25">
      <c r="B14" s="20" t="s">
        <v>62</v>
      </c>
      <c r="C14" s="21">
        <v>4511010</v>
      </c>
      <c r="D14" s="98" t="s">
        <v>81</v>
      </c>
      <c r="E14" s="98">
        <v>4511010</v>
      </c>
      <c r="F14" s="99" t="s">
        <v>62</v>
      </c>
      <c r="G14" s="122" t="s">
        <v>81</v>
      </c>
      <c r="H14" s="23" t="s">
        <v>305</v>
      </c>
      <c r="I14" s="23" t="s">
        <v>65</v>
      </c>
      <c r="J14" s="22" t="s">
        <v>148</v>
      </c>
      <c r="K14" s="91" t="s">
        <v>149</v>
      </c>
      <c r="L14" s="36" t="s">
        <v>151</v>
      </c>
      <c r="M14" s="36"/>
      <c r="N14" s="20" t="s">
        <v>321</v>
      </c>
      <c r="O14" s="20" t="s">
        <v>322</v>
      </c>
      <c r="P14" s="119" t="s">
        <v>323</v>
      </c>
      <c r="Q14" s="31" t="s">
        <v>324</v>
      </c>
      <c r="R14" s="20" t="s">
        <v>23</v>
      </c>
      <c r="S14" s="49" t="s">
        <v>509</v>
      </c>
    </row>
    <row r="15" spans="2:19" ht="14.85" customHeight="1" x14ac:dyDescent="0.25">
      <c r="B15" s="20" t="s">
        <v>62</v>
      </c>
      <c r="C15" s="21">
        <v>4511011</v>
      </c>
      <c r="D15" s="98" t="s">
        <v>325</v>
      </c>
      <c r="E15" s="98">
        <v>4511011</v>
      </c>
      <c r="F15" s="103"/>
      <c r="G15" s="124" t="s">
        <v>325</v>
      </c>
      <c r="H15" s="23" t="s">
        <v>326</v>
      </c>
      <c r="I15" s="23" t="s">
        <v>87</v>
      </c>
      <c r="J15" s="22" t="s">
        <v>148</v>
      </c>
      <c r="K15" s="91" t="s">
        <v>149</v>
      </c>
      <c r="L15" s="36" t="s">
        <v>151</v>
      </c>
      <c r="M15" s="36" t="s">
        <v>511</v>
      </c>
      <c r="N15" s="20" t="s">
        <v>327</v>
      </c>
      <c r="O15" s="20" t="s">
        <v>328</v>
      </c>
      <c r="P15" s="119" t="s">
        <v>329</v>
      </c>
      <c r="Q15" s="31" t="s">
        <v>330</v>
      </c>
      <c r="R15" s="20" t="s">
        <v>23</v>
      </c>
      <c r="S15" s="49" t="s">
        <v>509</v>
      </c>
    </row>
    <row r="16" spans="2:19" ht="14.85" customHeight="1" x14ac:dyDescent="0.25">
      <c r="B16" s="20" t="s">
        <v>62</v>
      </c>
      <c r="C16" s="21">
        <v>4511150</v>
      </c>
      <c r="D16" s="98" t="s">
        <v>92</v>
      </c>
      <c r="E16" s="98">
        <v>4511150</v>
      </c>
      <c r="F16" s="99" t="s">
        <v>62</v>
      </c>
      <c r="G16" s="122" t="s">
        <v>331</v>
      </c>
      <c r="H16" s="23" t="s">
        <v>305</v>
      </c>
      <c r="I16" s="23" t="s">
        <v>65</v>
      </c>
      <c r="J16" s="22" t="s">
        <v>148</v>
      </c>
      <c r="K16" s="91" t="s">
        <v>149</v>
      </c>
      <c r="L16" s="36" t="s">
        <v>151</v>
      </c>
      <c r="M16" s="36"/>
      <c r="N16" s="20" t="s">
        <v>323</v>
      </c>
      <c r="O16" s="20" t="s">
        <v>324</v>
      </c>
      <c r="P16" s="119" t="s">
        <v>323</v>
      </c>
      <c r="Q16" s="31" t="s">
        <v>324</v>
      </c>
      <c r="R16" s="20" t="s">
        <v>23</v>
      </c>
      <c r="S16" s="49" t="s">
        <v>508</v>
      </c>
    </row>
    <row r="17" spans="2:19" ht="14.85" customHeight="1" x14ac:dyDescent="0.25">
      <c r="B17" s="20" t="s">
        <v>62</v>
      </c>
      <c r="C17" s="21">
        <v>4511250</v>
      </c>
      <c r="D17" s="98" t="s">
        <v>100</v>
      </c>
      <c r="E17" s="98">
        <v>4511250</v>
      </c>
      <c r="F17" s="99" t="s">
        <v>62</v>
      </c>
      <c r="G17" s="122" t="s">
        <v>332</v>
      </c>
      <c r="H17" s="23" t="s">
        <v>333</v>
      </c>
      <c r="I17" s="23" t="s">
        <v>334</v>
      </c>
      <c r="J17" s="22" t="s">
        <v>98</v>
      </c>
      <c r="K17" s="91" t="s">
        <v>99</v>
      </c>
      <c r="L17" s="36" t="s">
        <v>151</v>
      </c>
      <c r="M17" s="36"/>
      <c r="N17" s="20" t="s">
        <v>335</v>
      </c>
      <c r="O17" s="20" t="s">
        <v>336</v>
      </c>
      <c r="P17" s="119" t="s">
        <v>337</v>
      </c>
      <c r="Q17" s="31" t="s">
        <v>338</v>
      </c>
      <c r="R17" s="20" t="s">
        <v>23</v>
      </c>
      <c r="S17" s="49" t="s">
        <v>508</v>
      </c>
    </row>
    <row r="18" spans="2:19" ht="14.85" customHeight="1" x14ac:dyDescent="0.25">
      <c r="B18" s="20" t="s">
        <v>62</v>
      </c>
      <c r="C18" s="21">
        <v>4511550</v>
      </c>
      <c r="D18" s="98" t="s">
        <v>105</v>
      </c>
      <c r="E18" s="98">
        <v>4511550</v>
      </c>
      <c r="F18" s="99" t="s">
        <v>62</v>
      </c>
      <c r="G18" s="122" t="s">
        <v>339</v>
      </c>
      <c r="H18" s="23" t="s">
        <v>326</v>
      </c>
      <c r="I18" s="23" t="s">
        <v>87</v>
      </c>
      <c r="J18" s="22" t="s">
        <v>148</v>
      </c>
      <c r="K18" s="91" t="s">
        <v>149</v>
      </c>
      <c r="L18" s="36" t="s">
        <v>151</v>
      </c>
      <c r="M18" s="36"/>
      <c r="N18" s="20" t="s">
        <v>340</v>
      </c>
      <c r="O18" s="20" t="s">
        <v>341</v>
      </c>
      <c r="P18" s="119" t="s">
        <v>342</v>
      </c>
      <c r="Q18" s="31" t="s">
        <v>108</v>
      </c>
      <c r="R18" s="20" t="s">
        <v>23</v>
      </c>
      <c r="S18" s="49" t="s">
        <v>508</v>
      </c>
    </row>
    <row r="19" spans="2:19" ht="14.85" customHeight="1" x14ac:dyDescent="0.25">
      <c r="B19" s="20" t="s">
        <v>62</v>
      </c>
      <c r="C19" s="21">
        <v>4511700</v>
      </c>
      <c r="D19" s="98" t="s">
        <v>110</v>
      </c>
      <c r="E19" s="98">
        <v>4511700</v>
      </c>
      <c r="F19" s="99" t="s">
        <v>62</v>
      </c>
      <c r="G19" s="122" t="s">
        <v>343</v>
      </c>
      <c r="H19" s="23" t="s">
        <v>326</v>
      </c>
      <c r="I19" s="23" t="s">
        <v>87</v>
      </c>
      <c r="J19" s="22" t="s">
        <v>148</v>
      </c>
      <c r="K19" s="91" t="s">
        <v>149</v>
      </c>
      <c r="L19" s="36" t="s">
        <v>151</v>
      </c>
      <c r="M19" s="36"/>
      <c r="N19" s="20" t="s">
        <v>327</v>
      </c>
      <c r="O19" s="20" t="s">
        <v>328</v>
      </c>
      <c r="P19" s="119" t="s">
        <v>344</v>
      </c>
      <c r="Q19" s="31" t="s">
        <v>345</v>
      </c>
      <c r="R19" s="20" t="s">
        <v>23</v>
      </c>
      <c r="S19" s="49" t="s">
        <v>508</v>
      </c>
    </row>
    <row r="20" spans="2:19" ht="14.85" customHeight="1" x14ac:dyDescent="0.25">
      <c r="B20" s="20" t="s">
        <v>62</v>
      </c>
      <c r="C20" s="21">
        <v>4511750</v>
      </c>
      <c r="D20" s="98" t="s">
        <v>346</v>
      </c>
      <c r="E20" s="98">
        <v>4511750</v>
      </c>
      <c r="F20" s="99" t="s">
        <v>62</v>
      </c>
      <c r="G20" s="122" t="s">
        <v>346</v>
      </c>
      <c r="H20" s="23" t="s">
        <v>326</v>
      </c>
      <c r="I20" s="23" t="s">
        <v>87</v>
      </c>
      <c r="J20" s="22" t="s">
        <v>98</v>
      </c>
      <c r="K20" s="91" t="s">
        <v>99</v>
      </c>
      <c r="L20" s="36" t="s">
        <v>151</v>
      </c>
      <c r="M20" s="36"/>
      <c r="N20" s="20" t="s">
        <v>313</v>
      </c>
      <c r="O20" s="20" t="s">
        <v>314</v>
      </c>
      <c r="P20" s="119" t="s">
        <v>349</v>
      </c>
      <c r="Q20" s="31" t="s">
        <v>350</v>
      </c>
      <c r="R20" s="20" t="s">
        <v>23</v>
      </c>
      <c r="S20" s="49" t="s">
        <v>509</v>
      </c>
    </row>
    <row r="21" spans="2:19" ht="14.85" customHeight="1" x14ac:dyDescent="0.25">
      <c r="B21" s="20" t="s">
        <v>62</v>
      </c>
      <c r="C21" s="21">
        <v>4511800</v>
      </c>
      <c r="D21" s="98" t="s">
        <v>351</v>
      </c>
      <c r="E21" s="98">
        <v>4511800</v>
      </c>
      <c r="F21" s="99" t="s">
        <v>62</v>
      </c>
      <c r="G21" s="122" t="s">
        <v>351</v>
      </c>
      <c r="H21" s="23" t="s">
        <v>326</v>
      </c>
      <c r="I21" s="23" t="s">
        <v>87</v>
      </c>
      <c r="J21" s="22" t="s">
        <v>98</v>
      </c>
      <c r="K21" s="91" t="s">
        <v>99</v>
      </c>
      <c r="L21" s="36" t="s">
        <v>151</v>
      </c>
      <c r="M21" s="36"/>
      <c r="N21" s="20" t="s">
        <v>118</v>
      </c>
      <c r="O21" s="20" t="s">
        <v>352</v>
      </c>
      <c r="P21" s="119" t="s">
        <v>353</v>
      </c>
      <c r="Q21" s="31" t="s">
        <v>354</v>
      </c>
      <c r="R21" s="20" t="s">
        <v>23</v>
      </c>
      <c r="S21" s="49" t="s">
        <v>509</v>
      </c>
    </row>
    <row r="22" spans="2:19" ht="14.85" customHeight="1" x14ac:dyDescent="0.25">
      <c r="B22" s="20"/>
      <c r="C22" s="21">
        <v>4511020</v>
      </c>
      <c r="D22" s="98"/>
      <c r="E22" s="98">
        <v>4511020</v>
      </c>
      <c r="F22" s="99" t="s">
        <v>62</v>
      </c>
      <c r="G22" s="106" t="s">
        <v>355</v>
      </c>
      <c r="H22" s="23"/>
      <c r="I22" s="23"/>
      <c r="J22" s="22" t="s">
        <v>148</v>
      </c>
      <c r="K22" s="91" t="s">
        <v>149</v>
      </c>
      <c r="L22" s="36" t="s">
        <v>151</v>
      </c>
      <c r="M22" s="36"/>
      <c r="N22" s="20"/>
      <c r="O22" s="20"/>
      <c r="P22" s="119"/>
      <c r="Q22" s="31"/>
      <c r="R22" s="20" t="s">
        <v>28</v>
      </c>
      <c r="S22" s="49" t="s">
        <v>512</v>
      </c>
    </row>
    <row r="23" spans="2:19" ht="14.85" customHeight="1" x14ac:dyDescent="0.25">
      <c r="B23" s="20" t="s">
        <v>121</v>
      </c>
      <c r="C23" s="21">
        <v>4510110</v>
      </c>
      <c r="D23" s="98" t="s">
        <v>356</v>
      </c>
      <c r="E23" s="98">
        <v>4510110</v>
      </c>
      <c r="F23" s="99" t="s">
        <v>357</v>
      </c>
      <c r="G23" s="122" t="s">
        <v>358</v>
      </c>
      <c r="H23" s="23" t="s">
        <v>359</v>
      </c>
      <c r="I23" s="23" t="s">
        <v>56</v>
      </c>
      <c r="J23" s="98" t="s">
        <v>442</v>
      </c>
      <c r="K23" s="37" t="s">
        <v>443</v>
      </c>
      <c r="L23" s="36" t="s">
        <v>151</v>
      </c>
      <c r="M23" s="36"/>
      <c r="N23" s="20" t="s">
        <v>362</v>
      </c>
      <c r="O23" s="20" t="s">
        <v>363</v>
      </c>
      <c r="P23" s="119" t="s">
        <v>364</v>
      </c>
      <c r="Q23" s="31" t="s">
        <v>365</v>
      </c>
      <c r="R23" s="20" t="s">
        <v>23</v>
      </c>
      <c r="S23" s="49" t="s">
        <v>508</v>
      </c>
    </row>
    <row r="24" spans="2:19" ht="14.85" customHeight="1" x14ac:dyDescent="0.25">
      <c r="B24" s="20" t="s">
        <v>121</v>
      </c>
      <c r="C24" s="21">
        <v>4510140</v>
      </c>
      <c r="D24" s="98" t="s">
        <v>366</v>
      </c>
      <c r="E24" s="98">
        <v>4510140</v>
      </c>
      <c r="F24" s="99" t="s">
        <v>357</v>
      </c>
      <c r="G24" s="122" t="s">
        <v>367</v>
      </c>
      <c r="H24" s="23" t="s">
        <v>359</v>
      </c>
      <c r="I24" s="23" t="s">
        <v>56</v>
      </c>
      <c r="J24" s="98" t="s">
        <v>442</v>
      </c>
      <c r="K24" s="37" t="s">
        <v>443</v>
      </c>
      <c r="L24" s="36" t="s">
        <v>151</v>
      </c>
      <c r="M24" s="36"/>
      <c r="N24" s="20" t="s">
        <v>128</v>
      </c>
      <c r="O24" s="20" t="s">
        <v>129</v>
      </c>
      <c r="P24" s="119" t="s">
        <v>370</v>
      </c>
      <c r="Q24" s="31" t="s">
        <v>371</v>
      </c>
      <c r="R24" s="20" t="s">
        <v>23</v>
      </c>
      <c r="S24" s="49" t="s">
        <v>508</v>
      </c>
    </row>
    <row r="25" spans="2:19" ht="14.85" customHeight="1" x14ac:dyDescent="0.25">
      <c r="B25" s="20" t="s">
        <v>121</v>
      </c>
      <c r="C25" s="21">
        <v>4510150</v>
      </c>
      <c r="D25" s="98" t="s">
        <v>372</v>
      </c>
      <c r="E25" s="98">
        <v>4510150</v>
      </c>
      <c r="F25" s="99" t="s">
        <v>357</v>
      </c>
      <c r="G25" s="122" t="s">
        <v>372</v>
      </c>
      <c r="H25" s="23" t="s">
        <v>359</v>
      </c>
      <c r="I25" s="23" t="s">
        <v>56</v>
      </c>
      <c r="J25" s="22" t="s">
        <v>373</v>
      </c>
      <c r="K25" s="91" t="s">
        <v>374</v>
      </c>
      <c r="L25" s="36" t="s">
        <v>151</v>
      </c>
      <c r="M25" s="36"/>
      <c r="N25" s="20" t="s">
        <v>132</v>
      </c>
      <c r="O25" s="20" t="s">
        <v>513</v>
      </c>
      <c r="P25" s="119" t="s">
        <v>133</v>
      </c>
      <c r="Q25" s="31" t="s">
        <v>134</v>
      </c>
      <c r="R25" s="20" t="s">
        <v>23</v>
      </c>
      <c r="S25" s="49" t="s">
        <v>509</v>
      </c>
    </row>
    <row r="26" spans="2:19" ht="14.85" customHeight="1" x14ac:dyDescent="0.25">
      <c r="B26" s="20" t="s">
        <v>121</v>
      </c>
      <c r="C26" s="21">
        <v>4510155</v>
      </c>
      <c r="D26" s="98" t="s">
        <v>379</v>
      </c>
      <c r="E26" s="98">
        <v>4510155</v>
      </c>
      <c r="F26" s="99" t="s">
        <v>357</v>
      </c>
      <c r="G26" s="122" t="s">
        <v>379</v>
      </c>
      <c r="H26" s="23" t="s">
        <v>359</v>
      </c>
      <c r="I26" s="23" t="s">
        <v>56</v>
      </c>
      <c r="J26" s="22" t="s">
        <v>373</v>
      </c>
      <c r="K26" s="91" t="s">
        <v>374</v>
      </c>
      <c r="L26" s="36" t="s">
        <v>151</v>
      </c>
      <c r="M26" s="36"/>
      <c r="N26" s="20" t="s">
        <v>380</v>
      </c>
      <c r="O26" s="20" t="s">
        <v>381</v>
      </c>
      <c r="P26" s="119" t="s">
        <v>138</v>
      </c>
      <c r="Q26" s="31" t="s">
        <v>139</v>
      </c>
      <c r="R26" s="20" t="s">
        <v>23</v>
      </c>
      <c r="S26" s="49" t="s">
        <v>509</v>
      </c>
    </row>
    <row r="27" spans="2:19" ht="14.85" customHeight="1" x14ac:dyDescent="0.25">
      <c r="B27" s="20" t="s">
        <v>121</v>
      </c>
      <c r="C27" s="21">
        <v>4510160</v>
      </c>
      <c r="D27" s="98" t="s">
        <v>382</v>
      </c>
      <c r="E27" s="98">
        <v>4510160</v>
      </c>
      <c r="F27" s="99" t="s">
        <v>357</v>
      </c>
      <c r="G27" s="122" t="s">
        <v>382</v>
      </c>
      <c r="H27" s="23" t="s">
        <v>359</v>
      </c>
      <c r="I27" s="23" t="s">
        <v>56</v>
      </c>
      <c r="J27" s="98" t="s">
        <v>442</v>
      </c>
      <c r="K27" s="37" t="s">
        <v>443</v>
      </c>
      <c r="L27" s="36" t="s">
        <v>151</v>
      </c>
      <c r="M27" s="36"/>
      <c r="N27" s="20" t="s">
        <v>383</v>
      </c>
      <c r="O27" s="20" t="s">
        <v>384</v>
      </c>
      <c r="P27" s="119" t="s">
        <v>143</v>
      </c>
      <c r="Q27" s="31" t="s">
        <v>144</v>
      </c>
      <c r="R27" s="20" t="s">
        <v>23</v>
      </c>
      <c r="S27" s="49" t="s">
        <v>509</v>
      </c>
    </row>
    <row r="28" spans="2:19" ht="14.85" customHeight="1" x14ac:dyDescent="0.25">
      <c r="B28" s="20"/>
      <c r="C28" s="21">
        <v>4510280</v>
      </c>
      <c r="D28" s="98"/>
      <c r="E28" s="98">
        <v>4510280</v>
      </c>
      <c r="F28" s="99" t="s">
        <v>357</v>
      </c>
      <c r="G28" s="122" t="s">
        <v>385</v>
      </c>
      <c r="H28" s="23" t="s">
        <v>359</v>
      </c>
      <c r="I28" s="23" t="s">
        <v>56</v>
      </c>
      <c r="J28" s="22" t="s">
        <v>16</v>
      </c>
      <c r="K28" s="91" t="s">
        <v>17</v>
      </c>
      <c r="L28" s="36" t="s">
        <v>151</v>
      </c>
      <c r="M28" s="36"/>
      <c r="N28" s="20"/>
      <c r="O28" s="20"/>
      <c r="P28" s="119"/>
      <c r="Q28" s="31"/>
      <c r="R28" s="20" t="s">
        <v>28</v>
      </c>
      <c r="S28" s="49" t="s">
        <v>512</v>
      </c>
    </row>
    <row r="29" spans="2:19" ht="14.85" customHeight="1" x14ac:dyDescent="0.25">
      <c r="B29" s="20" t="s">
        <v>121</v>
      </c>
      <c r="C29" s="21">
        <v>4510011</v>
      </c>
      <c r="D29" s="98" t="s">
        <v>386</v>
      </c>
      <c r="E29" s="98">
        <v>4510011</v>
      </c>
      <c r="F29" s="99" t="s">
        <v>357</v>
      </c>
      <c r="G29" s="122" t="s">
        <v>386</v>
      </c>
      <c r="H29" s="23" t="s">
        <v>359</v>
      </c>
      <c r="I29" s="23" t="s">
        <v>56</v>
      </c>
      <c r="J29" s="22" t="s">
        <v>16</v>
      </c>
      <c r="K29" s="91" t="s">
        <v>17</v>
      </c>
      <c r="L29" s="36" t="s">
        <v>151</v>
      </c>
      <c r="M29" s="36"/>
      <c r="N29" s="20"/>
      <c r="O29" s="20"/>
      <c r="P29" s="119"/>
      <c r="Q29" s="31"/>
      <c r="R29" s="20" t="s">
        <v>28</v>
      </c>
      <c r="S29" s="49" t="s">
        <v>509</v>
      </c>
    </row>
    <row r="30" spans="2:19" ht="14.85" customHeight="1" x14ac:dyDescent="0.25">
      <c r="B30" s="20" t="s">
        <v>146</v>
      </c>
      <c r="C30" s="21">
        <v>4512010</v>
      </c>
      <c r="D30" s="98" t="s">
        <v>387</v>
      </c>
      <c r="E30" s="98">
        <v>4512010</v>
      </c>
      <c r="F30" s="99" t="s">
        <v>146</v>
      </c>
      <c r="G30" s="84" t="s">
        <v>387</v>
      </c>
      <c r="H30" s="23" t="s">
        <v>359</v>
      </c>
      <c r="I30" s="23" t="s">
        <v>56</v>
      </c>
      <c r="J30" s="22" t="s">
        <v>16</v>
      </c>
      <c r="K30" s="91" t="s">
        <v>17</v>
      </c>
      <c r="L30" s="36" t="s">
        <v>151</v>
      </c>
      <c r="M30" s="36"/>
      <c r="N30" s="20" t="s">
        <v>390</v>
      </c>
      <c r="O30" s="20" t="s">
        <v>391</v>
      </c>
      <c r="P30" s="119" t="s">
        <v>392</v>
      </c>
      <c r="Q30" s="31" t="s">
        <v>393</v>
      </c>
      <c r="R30" s="20" t="s">
        <v>23</v>
      </c>
      <c r="S30" s="49" t="s">
        <v>509</v>
      </c>
    </row>
    <row r="31" spans="2:19" ht="14.85" customHeight="1" x14ac:dyDescent="0.25">
      <c r="B31" s="20" t="s">
        <v>146</v>
      </c>
      <c r="C31" s="21">
        <v>4512100</v>
      </c>
      <c r="D31" s="98" t="s">
        <v>394</v>
      </c>
      <c r="E31" s="98">
        <v>4512100</v>
      </c>
      <c r="F31" s="99" t="s">
        <v>146</v>
      </c>
      <c r="G31" s="122" t="s">
        <v>394</v>
      </c>
      <c r="H31" s="23" t="s">
        <v>359</v>
      </c>
      <c r="I31" s="23" t="s">
        <v>56</v>
      </c>
      <c r="J31" s="22" t="s">
        <v>16</v>
      </c>
      <c r="K31" s="91" t="s">
        <v>17</v>
      </c>
      <c r="L31" s="36" t="s">
        <v>151</v>
      </c>
      <c r="M31" s="36"/>
      <c r="N31" s="20" t="s">
        <v>395</v>
      </c>
      <c r="O31" s="20" t="s">
        <v>396</v>
      </c>
      <c r="P31" s="119" t="s">
        <v>397</v>
      </c>
      <c r="Q31" s="31" t="s">
        <v>398</v>
      </c>
      <c r="R31" s="20" t="s">
        <v>23</v>
      </c>
      <c r="S31" s="49" t="s">
        <v>509</v>
      </c>
    </row>
    <row r="32" spans="2:19" ht="14.85" customHeight="1" x14ac:dyDescent="0.25">
      <c r="B32" s="20" t="s">
        <v>146</v>
      </c>
      <c r="C32" s="21">
        <v>4512200</v>
      </c>
      <c r="D32" s="98" t="s">
        <v>399</v>
      </c>
      <c r="E32" s="98">
        <v>4512200</v>
      </c>
      <c r="F32" s="99" t="s">
        <v>146</v>
      </c>
      <c r="G32" s="122" t="s">
        <v>400</v>
      </c>
      <c r="H32" s="23" t="s">
        <v>359</v>
      </c>
      <c r="I32" s="23" t="s">
        <v>56</v>
      </c>
      <c r="J32" s="22" t="s">
        <v>16</v>
      </c>
      <c r="K32" s="91" t="s">
        <v>17</v>
      </c>
      <c r="L32" s="36" t="s">
        <v>151</v>
      </c>
      <c r="M32" s="36"/>
      <c r="N32" s="20" t="s">
        <v>401</v>
      </c>
      <c r="O32" s="20" t="s">
        <v>402</v>
      </c>
      <c r="P32" s="119" t="s">
        <v>403</v>
      </c>
      <c r="Q32" s="31" t="s">
        <v>404</v>
      </c>
      <c r="R32" s="20" t="s">
        <v>23</v>
      </c>
      <c r="S32" s="49" t="s">
        <v>508</v>
      </c>
    </row>
    <row r="33" spans="2:19" ht="14.85" customHeight="1" x14ac:dyDescent="0.25">
      <c r="B33" s="20" t="s">
        <v>146</v>
      </c>
      <c r="C33" s="21">
        <v>4512300</v>
      </c>
      <c r="D33" s="98" t="s">
        <v>405</v>
      </c>
      <c r="E33" s="98">
        <v>4512300</v>
      </c>
      <c r="F33" s="99" t="s">
        <v>146</v>
      </c>
      <c r="G33" s="122" t="s">
        <v>406</v>
      </c>
      <c r="H33" s="23" t="s">
        <v>359</v>
      </c>
      <c r="I33" s="23" t="s">
        <v>56</v>
      </c>
      <c r="J33" s="22" t="s">
        <v>16</v>
      </c>
      <c r="K33" s="91" t="s">
        <v>17</v>
      </c>
      <c r="L33" s="36" t="s">
        <v>151</v>
      </c>
      <c r="M33" s="36"/>
      <c r="N33" s="20" t="s">
        <v>407</v>
      </c>
      <c r="O33" s="20" t="s">
        <v>408</v>
      </c>
      <c r="P33" s="119" t="s">
        <v>409</v>
      </c>
      <c r="Q33" s="31" t="s">
        <v>410</v>
      </c>
      <c r="R33" s="20" t="s">
        <v>23</v>
      </c>
      <c r="S33" s="49" t="s">
        <v>508</v>
      </c>
    </row>
    <row r="34" spans="2:19" ht="14.85" customHeight="1" x14ac:dyDescent="0.25">
      <c r="B34" s="20" t="s">
        <v>146</v>
      </c>
      <c r="C34" s="21">
        <v>4512500</v>
      </c>
      <c r="D34" s="98" t="s">
        <v>411</v>
      </c>
      <c r="E34" s="98">
        <v>4512500</v>
      </c>
      <c r="F34" s="99" t="s">
        <v>146</v>
      </c>
      <c r="G34" s="122" t="s">
        <v>412</v>
      </c>
      <c r="H34" s="23" t="s">
        <v>359</v>
      </c>
      <c r="I34" s="23" t="s">
        <v>56</v>
      </c>
      <c r="J34" s="22" t="s">
        <v>16</v>
      </c>
      <c r="K34" s="91" t="s">
        <v>17</v>
      </c>
      <c r="L34" s="36" t="s">
        <v>151</v>
      </c>
      <c r="M34" s="36"/>
      <c r="N34" s="20"/>
      <c r="O34" s="20"/>
      <c r="P34" s="119"/>
      <c r="Q34" s="31"/>
      <c r="R34" s="20" t="s">
        <v>28</v>
      </c>
      <c r="S34" s="49" t="s">
        <v>512</v>
      </c>
    </row>
    <row r="35" spans="2:19" ht="14.85" customHeight="1" x14ac:dyDescent="0.25">
      <c r="B35" s="20" t="s">
        <v>53</v>
      </c>
      <c r="C35" s="21">
        <v>4518113</v>
      </c>
      <c r="D35" s="98" t="s">
        <v>417</v>
      </c>
      <c r="E35" s="98">
        <v>4518113</v>
      </c>
      <c r="F35" s="99" t="s">
        <v>146</v>
      </c>
      <c r="G35" s="122" t="s">
        <v>418</v>
      </c>
      <c r="H35" s="23" t="s">
        <v>359</v>
      </c>
      <c r="I35" s="23" t="s">
        <v>56</v>
      </c>
      <c r="J35" s="22" t="s">
        <v>16</v>
      </c>
      <c r="K35" s="91" t="s">
        <v>17</v>
      </c>
      <c r="L35" s="36" t="s">
        <v>151</v>
      </c>
      <c r="M35" s="36"/>
      <c r="N35" s="20" t="s">
        <v>514</v>
      </c>
      <c r="O35" s="20" t="s">
        <v>515</v>
      </c>
      <c r="P35" s="119" t="s">
        <v>423</v>
      </c>
      <c r="Q35" s="31" t="s">
        <v>424</v>
      </c>
      <c r="R35" s="20" t="s">
        <v>23</v>
      </c>
      <c r="S35" s="49" t="s">
        <v>508</v>
      </c>
    </row>
    <row r="36" spans="2:19" ht="14.85" customHeight="1" x14ac:dyDescent="0.25">
      <c r="B36" s="20"/>
      <c r="C36" s="21">
        <v>4512600</v>
      </c>
      <c r="D36" s="98"/>
      <c r="E36" s="98">
        <v>4512600</v>
      </c>
      <c r="F36" s="99" t="s">
        <v>146</v>
      </c>
      <c r="G36" s="125" t="s">
        <v>425</v>
      </c>
      <c r="H36" s="23" t="s">
        <v>359</v>
      </c>
      <c r="I36" s="23" t="s">
        <v>56</v>
      </c>
      <c r="J36" s="22" t="s">
        <v>16</v>
      </c>
      <c r="K36" s="91" t="s">
        <v>17</v>
      </c>
      <c r="L36" s="36" t="s">
        <v>151</v>
      </c>
      <c r="M36" s="36"/>
      <c r="N36" s="20"/>
      <c r="O36" s="20"/>
      <c r="P36" s="119"/>
      <c r="Q36" s="31"/>
      <c r="R36" s="20" t="s">
        <v>28</v>
      </c>
      <c r="S36" s="49" t="s">
        <v>512</v>
      </c>
    </row>
    <row r="37" spans="2:19" ht="14.85" customHeight="1" x14ac:dyDescent="0.25">
      <c r="B37" s="20"/>
      <c r="C37" s="21">
        <v>4512700</v>
      </c>
      <c r="D37" s="98"/>
      <c r="E37" s="98">
        <v>4512700</v>
      </c>
      <c r="F37" s="99" t="s">
        <v>146</v>
      </c>
      <c r="G37" s="126" t="s">
        <v>430</v>
      </c>
      <c r="H37" s="23" t="s">
        <v>359</v>
      </c>
      <c r="I37" s="23" t="s">
        <v>56</v>
      </c>
      <c r="J37" s="22" t="s">
        <v>16</v>
      </c>
      <c r="K37" s="91" t="s">
        <v>17</v>
      </c>
      <c r="L37" s="36" t="s">
        <v>151</v>
      </c>
      <c r="M37" s="36"/>
      <c r="N37" s="20"/>
      <c r="O37" s="20"/>
      <c r="P37" s="119"/>
      <c r="Q37" s="31"/>
      <c r="R37" s="20" t="s">
        <v>28</v>
      </c>
      <c r="S37" s="49" t="s">
        <v>512</v>
      </c>
    </row>
    <row r="38" spans="2:19" ht="14.85" customHeight="1" x14ac:dyDescent="0.25">
      <c r="B38" s="20" t="s">
        <v>164</v>
      </c>
      <c r="C38" s="21">
        <v>4513110</v>
      </c>
      <c r="D38" s="98" t="s">
        <v>170</v>
      </c>
      <c r="E38" s="98">
        <v>4513110</v>
      </c>
      <c r="F38" s="99" t="s">
        <v>164</v>
      </c>
      <c r="G38" s="84" t="s">
        <v>431</v>
      </c>
      <c r="H38" s="23" t="s">
        <v>432</v>
      </c>
      <c r="I38" s="23" t="s">
        <v>167</v>
      </c>
      <c r="J38" s="22" t="s">
        <v>168</v>
      </c>
      <c r="K38" s="91" t="s">
        <v>169</v>
      </c>
      <c r="L38" s="36" t="s">
        <v>151</v>
      </c>
      <c r="M38" s="36"/>
      <c r="N38" s="20" t="s">
        <v>171</v>
      </c>
      <c r="O38" s="20" t="s">
        <v>433</v>
      </c>
      <c r="P38" s="119" t="s">
        <v>172</v>
      </c>
      <c r="Q38" s="31" t="s">
        <v>173</v>
      </c>
      <c r="R38" s="20" t="s">
        <v>23</v>
      </c>
      <c r="S38" s="49" t="s">
        <v>509</v>
      </c>
    </row>
    <row r="39" spans="2:19" ht="14.85" customHeight="1" x14ac:dyDescent="0.25">
      <c r="B39" s="20" t="s">
        <v>164</v>
      </c>
      <c r="C39" s="21">
        <v>4513120</v>
      </c>
      <c r="D39" s="98" t="s">
        <v>434</v>
      </c>
      <c r="E39" s="98">
        <v>4513120</v>
      </c>
      <c r="F39" s="99" t="s">
        <v>164</v>
      </c>
      <c r="G39" s="122" t="s">
        <v>434</v>
      </c>
      <c r="H39" s="23" t="s">
        <v>432</v>
      </c>
      <c r="I39" s="23" t="s">
        <v>167</v>
      </c>
      <c r="J39" s="22" t="s">
        <v>168</v>
      </c>
      <c r="K39" s="91" t="s">
        <v>169</v>
      </c>
      <c r="L39" s="36" t="s">
        <v>151</v>
      </c>
      <c r="M39" s="36"/>
      <c r="N39" s="20" t="s">
        <v>435</v>
      </c>
      <c r="O39" s="20" t="s">
        <v>436</v>
      </c>
      <c r="P39" s="119" t="s">
        <v>172</v>
      </c>
      <c r="Q39" s="31" t="s">
        <v>173</v>
      </c>
      <c r="R39" s="20" t="s">
        <v>23</v>
      </c>
      <c r="S39" s="49" t="s">
        <v>509</v>
      </c>
    </row>
    <row r="40" spans="2:19" ht="14.85" customHeight="1" x14ac:dyDescent="0.25">
      <c r="B40" s="20" t="s">
        <v>164</v>
      </c>
      <c r="C40" s="21">
        <v>4513130</v>
      </c>
      <c r="D40" s="98" t="s">
        <v>177</v>
      </c>
      <c r="E40" s="98">
        <v>4513130</v>
      </c>
      <c r="F40" s="99" t="s">
        <v>164</v>
      </c>
      <c r="G40" s="122" t="s">
        <v>177</v>
      </c>
      <c r="H40" s="23" t="s">
        <v>432</v>
      </c>
      <c r="I40" s="23" t="s">
        <v>167</v>
      </c>
      <c r="J40" s="22" t="s">
        <v>168</v>
      </c>
      <c r="K40" s="91" t="s">
        <v>169</v>
      </c>
      <c r="L40" s="36" t="s">
        <v>151</v>
      </c>
      <c r="M40" s="36"/>
      <c r="N40" s="20" t="s">
        <v>178</v>
      </c>
      <c r="O40" s="20" t="s">
        <v>437</v>
      </c>
      <c r="P40" s="119" t="s">
        <v>172</v>
      </c>
      <c r="Q40" s="31" t="s">
        <v>173</v>
      </c>
      <c r="R40" s="20" t="s">
        <v>23</v>
      </c>
      <c r="S40" s="49" t="s">
        <v>509</v>
      </c>
    </row>
    <row r="41" spans="2:19" ht="14.85" customHeight="1" x14ac:dyDescent="0.25">
      <c r="B41" s="20" t="s">
        <v>164</v>
      </c>
      <c r="C41" s="21">
        <v>4513140</v>
      </c>
      <c r="D41" s="98" t="s">
        <v>438</v>
      </c>
      <c r="E41" s="98">
        <v>4513140</v>
      </c>
      <c r="F41" s="99" t="s">
        <v>164</v>
      </c>
      <c r="G41" s="122" t="s">
        <v>438</v>
      </c>
      <c r="H41" s="23" t="s">
        <v>432</v>
      </c>
      <c r="I41" s="23" t="s">
        <v>167</v>
      </c>
      <c r="J41" s="22" t="s">
        <v>168</v>
      </c>
      <c r="K41" s="91" t="s">
        <v>169</v>
      </c>
      <c r="L41" s="36" t="s">
        <v>151</v>
      </c>
      <c r="M41" s="36"/>
      <c r="N41" s="20" t="s">
        <v>180</v>
      </c>
      <c r="O41" s="20" t="s">
        <v>439</v>
      </c>
      <c r="P41" s="119" t="s">
        <v>172</v>
      </c>
      <c r="Q41" s="31" t="s">
        <v>173</v>
      </c>
      <c r="R41" s="20" t="s">
        <v>23</v>
      </c>
      <c r="S41" s="49" t="s">
        <v>509</v>
      </c>
    </row>
    <row r="42" spans="2:19" ht="14.85" customHeight="1" x14ac:dyDescent="0.25">
      <c r="B42" s="20" t="s">
        <v>164</v>
      </c>
      <c r="C42" s="21">
        <v>4513111</v>
      </c>
      <c r="D42" s="98" t="s">
        <v>440</v>
      </c>
      <c r="E42" s="98">
        <v>4513111</v>
      </c>
      <c r="F42" s="99"/>
      <c r="G42" s="122" t="s">
        <v>440</v>
      </c>
      <c r="H42" s="23"/>
      <c r="I42" s="23"/>
      <c r="J42" s="22" t="s">
        <v>168</v>
      </c>
      <c r="K42" s="91" t="s">
        <v>169</v>
      </c>
      <c r="L42" s="36" t="s">
        <v>151</v>
      </c>
      <c r="M42" s="36"/>
      <c r="N42" s="20"/>
      <c r="O42" s="20"/>
      <c r="P42" s="119"/>
      <c r="Q42" s="31"/>
      <c r="R42" s="20" t="s">
        <v>28</v>
      </c>
      <c r="S42" s="49" t="e">
        <v>#N/A</v>
      </c>
    </row>
    <row r="43" spans="2:19" ht="14.85" customHeight="1" x14ac:dyDescent="0.25">
      <c r="B43" s="20" t="s">
        <v>183</v>
      </c>
      <c r="C43" s="21">
        <v>4510201</v>
      </c>
      <c r="D43" s="98" t="s">
        <v>441</v>
      </c>
      <c r="E43" s="98">
        <v>4510201</v>
      </c>
      <c r="F43" s="99" t="s">
        <v>183</v>
      </c>
      <c r="G43" s="84" t="s">
        <v>441</v>
      </c>
      <c r="H43" s="23" t="s">
        <v>279</v>
      </c>
      <c r="I43" s="23" t="s">
        <v>15</v>
      </c>
      <c r="J43" s="98" t="s">
        <v>442</v>
      </c>
      <c r="K43" s="37" t="s">
        <v>443</v>
      </c>
      <c r="L43" s="36" t="s">
        <v>151</v>
      </c>
      <c r="M43" s="36"/>
      <c r="N43" s="20" t="s">
        <v>186</v>
      </c>
      <c r="O43" s="20" t="s">
        <v>444</v>
      </c>
      <c r="P43" s="119" t="s">
        <v>445</v>
      </c>
      <c r="Q43" s="31" t="s">
        <v>446</v>
      </c>
      <c r="R43" s="20" t="s">
        <v>23</v>
      </c>
      <c r="S43" s="49" t="s">
        <v>509</v>
      </c>
    </row>
    <row r="44" spans="2:19" ht="14.85" customHeight="1" x14ac:dyDescent="0.25">
      <c r="B44" s="20" t="s">
        <v>183</v>
      </c>
      <c r="C44" s="21">
        <v>4510210</v>
      </c>
      <c r="D44" s="98" t="s">
        <v>447</v>
      </c>
      <c r="E44" s="98">
        <v>4510210</v>
      </c>
      <c r="F44" s="99" t="s">
        <v>183</v>
      </c>
      <c r="G44" s="122" t="s">
        <v>447</v>
      </c>
      <c r="H44" s="23" t="s">
        <v>279</v>
      </c>
      <c r="I44" s="23" t="s">
        <v>15</v>
      </c>
      <c r="J44" s="98" t="s">
        <v>442</v>
      </c>
      <c r="K44" s="37" t="s">
        <v>443</v>
      </c>
      <c r="L44" s="36" t="s">
        <v>151</v>
      </c>
      <c r="M44" s="36"/>
      <c r="N44" s="20" t="s">
        <v>448</v>
      </c>
      <c r="O44" s="20" t="s">
        <v>449</v>
      </c>
      <c r="P44" s="119" t="s">
        <v>192</v>
      </c>
      <c r="Q44" s="31" t="s">
        <v>193</v>
      </c>
      <c r="R44" s="20" t="s">
        <v>23</v>
      </c>
      <c r="S44" s="49" t="s">
        <v>509</v>
      </c>
    </row>
    <row r="45" spans="2:19" ht="14.85" customHeight="1" x14ac:dyDescent="0.25">
      <c r="B45" s="20" t="s">
        <v>183</v>
      </c>
      <c r="C45" s="21">
        <v>4510220</v>
      </c>
      <c r="D45" s="98" t="s">
        <v>450</v>
      </c>
      <c r="E45" s="98">
        <v>4510220</v>
      </c>
      <c r="F45" s="99" t="s">
        <v>183</v>
      </c>
      <c r="G45" s="122" t="s">
        <v>450</v>
      </c>
      <c r="H45" s="23" t="s">
        <v>279</v>
      </c>
      <c r="I45" s="23" t="s">
        <v>15</v>
      </c>
      <c r="J45" s="98" t="s">
        <v>442</v>
      </c>
      <c r="K45" s="37" t="s">
        <v>443</v>
      </c>
      <c r="L45" s="36" t="s">
        <v>151</v>
      </c>
      <c r="M45" s="36"/>
      <c r="N45" s="20" t="s">
        <v>196</v>
      </c>
      <c r="O45" s="20" t="s">
        <v>451</v>
      </c>
      <c r="P45" s="119" t="s">
        <v>197</v>
      </c>
      <c r="Q45" s="31" t="s">
        <v>198</v>
      </c>
      <c r="R45" s="20" t="s">
        <v>23</v>
      </c>
      <c r="S45" s="49" t="s">
        <v>509</v>
      </c>
    </row>
    <row r="46" spans="2:19" ht="14.85" customHeight="1" x14ac:dyDescent="0.25">
      <c r="B46" s="20" t="s">
        <v>183</v>
      </c>
      <c r="C46" s="21">
        <v>4510240</v>
      </c>
      <c r="D46" s="98" t="s">
        <v>452</v>
      </c>
      <c r="E46" s="98">
        <v>4510240</v>
      </c>
      <c r="F46" s="99" t="s">
        <v>183</v>
      </c>
      <c r="G46" s="122" t="s">
        <v>452</v>
      </c>
      <c r="H46" s="23" t="s">
        <v>279</v>
      </c>
      <c r="I46" s="23" t="s">
        <v>15</v>
      </c>
      <c r="J46" s="98" t="s">
        <v>442</v>
      </c>
      <c r="K46" s="37" t="s">
        <v>443</v>
      </c>
      <c r="L46" s="36" t="s">
        <v>151</v>
      </c>
      <c r="M46" s="36"/>
      <c r="N46" s="20" t="s">
        <v>201</v>
      </c>
      <c r="O46" s="20" t="s">
        <v>453</v>
      </c>
      <c r="P46" s="119" t="s">
        <v>202</v>
      </c>
      <c r="Q46" s="31" t="s">
        <v>454</v>
      </c>
      <c r="R46" s="20" t="s">
        <v>23</v>
      </c>
      <c r="S46" s="49" t="s">
        <v>509</v>
      </c>
    </row>
    <row r="47" spans="2:19" ht="14.85" customHeight="1" x14ac:dyDescent="0.25">
      <c r="B47" s="20" t="s">
        <v>183</v>
      </c>
      <c r="C47" s="21">
        <v>4510250</v>
      </c>
      <c r="D47" s="98" t="s">
        <v>455</v>
      </c>
      <c r="E47" s="98">
        <v>4510250</v>
      </c>
      <c r="F47" s="99" t="s">
        <v>183</v>
      </c>
      <c r="G47" s="122" t="s">
        <v>456</v>
      </c>
      <c r="H47" s="23" t="s">
        <v>457</v>
      </c>
      <c r="I47" s="23" t="s">
        <v>213</v>
      </c>
      <c r="J47" s="98" t="s">
        <v>442</v>
      </c>
      <c r="K47" s="37" t="s">
        <v>443</v>
      </c>
      <c r="L47" s="36" t="s">
        <v>151</v>
      </c>
      <c r="M47" s="36"/>
      <c r="N47" s="20" t="s">
        <v>208</v>
      </c>
      <c r="O47" s="20" t="s">
        <v>458</v>
      </c>
      <c r="P47" s="119" t="s">
        <v>209</v>
      </c>
      <c r="Q47" s="31" t="s">
        <v>210</v>
      </c>
      <c r="R47" s="20" t="s">
        <v>23</v>
      </c>
      <c r="S47" s="49" t="s">
        <v>508</v>
      </c>
    </row>
    <row r="48" spans="2:19" ht="14.85" customHeight="1" x14ac:dyDescent="0.25">
      <c r="B48" s="20" t="s">
        <v>183</v>
      </c>
      <c r="C48" s="21">
        <v>4510230</v>
      </c>
      <c r="D48" s="98" t="s">
        <v>214</v>
      </c>
      <c r="E48" s="98">
        <v>4510230</v>
      </c>
      <c r="F48" s="99" t="s">
        <v>183</v>
      </c>
      <c r="G48" s="123" t="s">
        <v>214</v>
      </c>
      <c r="H48" s="23"/>
      <c r="I48" s="23"/>
      <c r="J48" s="98" t="s">
        <v>442</v>
      </c>
      <c r="K48" s="37" t="s">
        <v>443</v>
      </c>
      <c r="L48" s="36" t="s">
        <v>151</v>
      </c>
      <c r="M48" s="36"/>
      <c r="N48" s="20" t="s">
        <v>201</v>
      </c>
      <c r="O48" s="20" t="s">
        <v>453</v>
      </c>
      <c r="P48" s="119"/>
      <c r="Q48" s="31"/>
      <c r="R48" s="20" t="s">
        <v>28</v>
      </c>
      <c r="S48" s="49" t="e">
        <v>#N/A</v>
      </c>
    </row>
    <row r="49" spans="2:19" ht="14.85" customHeight="1" x14ac:dyDescent="0.25">
      <c r="B49" s="20" t="s">
        <v>216</v>
      </c>
      <c r="C49" s="21">
        <v>4510170</v>
      </c>
      <c r="D49" s="98" t="s">
        <v>462</v>
      </c>
      <c r="E49" s="98">
        <v>4510170</v>
      </c>
      <c r="F49" s="99" t="s">
        <v>183</v>
      </c>
      <c r="G49" s="122" t="s">
        <v>462</v>
      </c>
      <c r="H49" s="23" t="s">
        <v>466</v>
      </c>
      <c r="I49" s="23" t="s">
        <v>232</v>
      </c>
      <c r="J49" s="22" t="s">
        <v>218</v>
      </c>
      <c r="K49" s="91" t="s">
        <v>219</v>
      </c>
      <c r="L49" s="36" t="s">
        <v>151</v>
      </c>
      <c r="M49" s="36"/>
      <c r="N49" s="20" t="s">
        <v>221</v>
      </c>
      <c r="O49" s="20" t="s">
        <v>463</v>
      </c>
      <c r="P49" s="119" t="s">
        <v>464</v>
      </c>
      <c r="Q49" s="31" t="s">
        <v>223</v>
      </c>
      <c r="R49" s="20" t="s">
        <v>23</v>
      </c>
      <c r="S49" s="49" t="s">
        <v>509</v>
      </c>
    </row>
    <row r="50" spans="2:19" ht="14.85" customHeight="1" x14ac:dyDescent="0.25">
      <c r="B50" s="20" t="s">
        <v>216</v>
      </c>
      <c r="C50" s="21">
        <v>4515300</v>
      </c>
      <c r="D50" s="98" t="s">
        <v>465</v>
      </c>
      <c r="E50" s="98">
        <v>4515300</v>
      </c>
      <c r="F50" s="99" t="s">
        <v>216</v>
      </c>
      <c r="G50" s="122" t="s">
        <v>465</v>
      </c>
      <c r="H50" s="23" t="s">
        <v>466</v>
      </c>
      <c r="I50" s="23" t="s">
        <v>232</v>
      </c>
      <c r="J50" s="22" t="s">
        <v>218</v>
      </c>
      <c r="K50" s="91" t="s">
        <v>219</v>
      </c>
      <c r="L50" s="36" t="s">
        <v>151</v>
      </c>
      <c r="M50" s="36"/>
      <c r="N50" s="20" t="s">
        <v>469</v>
      </c>
      <c r="O50" s="20" t="s">
        <v>470</v>
      </c>
      <c r="P50" s="119" t="s">
        <v>471</v>
      </c>
      <c r="Q50" s="31" t="s">
        <v>229</v>
      </c>
      <c r="R50" s="20" t="s">
        <v>23</v>
      </c>
      <c r="S50" s="49" t="s">
        <v>509</v>
      </c>
    </row>
    <row r="51" spans="2:19" ht="14.85" customHeight="1" x14ac:dyDescent="0.25">
      <c r="B51" s="20" t="s">
        <v>216</v>
      </c>
      <c r="C51" s="21">
        <v>4515400</v>
      </c>
      <c r="D51" s="98" t="s">
        <v>233</v>
      </c>
      <c r="E51" s="98">
        <v>4515400</v>
      </c>
      <c r="F51" s="99" t="s">
        <v>216</v>
      </c>
      <c r="G51" s="122" t="s">
        <v>233</v>
      </c>
      <c r="H51" s="23" t="s">
        <v>466</v>
      </c>
      <c r="I51" s="23" t="s">
        <v>232</v>
      </c>
      <c r="J51" s="22" t="s">
        <v>218</v>
      </c>
      <c r="K51" s="91" t="s">
        <v>219</v>
      </c>
      <c r="L51" s="36" t="s">
        <v>151</v>
      </c>
      <c r="M51" s="36"/>
      <c r="N51" s="20" t="s">
        <v>234</v>
      </c>
      <c r="O51" s="20" t="s">
        <v>474</v>
      </c>
      <c r="P51" s="119" t="s">
        <v>475</v>
      </c>
      <c r="Q51" s="31" t="s">
        <v>476</v>
      </c>
      <c r="R51" s="20" t="s">
        <v>23</v>
      </c>
      <c r="S51" s="49" t="s">
        <v>509</v>
      </c>
    </row>
    <row r="52" spans="2:19" ht="14.85" customHeight="1" x14ac:dyDescent="0.25">
      <c r="B52" s="20" t="s">
        <v>216</v>
      </c>
      <c r="C52" s="21">
        <v>4515500</v>
      </c>
      <c r="D52" s="98" t="s">
        <v>240</v>
      </c>
      <c r="E52" s="98">
        <v>4515500</v>
      </c>
      <c r="F52" s="99" t="s">
        <v>216</v>
      </c>
      <c r="G52" s="122" t="s">
        <v>240</v>
      </c>
      <c r="H52" s="23" t="s">
        <v>477</v>
      </c>
      <c r="I52" s="23" t="s">
        <v>478</v>
      </c>
      <c r="J52" s="22" t="s">
        <v>168</v>
      </c>
      <c r="K52" s="91" t="s">
        <v>169</v>
      </c>
      <c r="L52" s="36" t="s">
        <v>151</v>
      </c>
      <c r="M52" s="36"/>
      <c r="N52" s="20" t="s">
        <v>241</v>
      </c>
      <c r="O52" s="20" t="s">
        <v>479</v>
      </c>
      <c r="P52" s="119" t="s">
        <v>480</v>
      </c>
      <c r="Q52" s="31" t="s">
        <v>481</v>
      </c>
      <c r="R52" s="20" t="s">
        <v>23</v>
      </c>
      <c r="S52" s="49" t="s">
        <v>509</v>
      </c>
    </row>
    <row r="53" spans="2:19" ht="14.85" customHeight="1" x14ac:dyDescent="0.25">
      <c r="B53" s="20" t="s">
        <v>216</v>
      </c>
      <c r="C53" s="21">
        <v>4515700</v>
      </c>
      <c r="D53" s="98" t="s">
        <v>482</v>
      </c>
      <c r="E53" s="98">
        <v>4515700</v>
      </c>
      <c r="F53" s="99" t="s">
        <v>216</v>
      </c>
      <c r="G53" s="122" t="s">
        <v>482</v>
      </c>
      <c r="H53" s="23" t="s">
        <v>477</v>
      </c>
      <c r="I53" s="23" t="s">
        <v>478</v>
      </c>
      <c r="J53" s="22" t="s">
        <v>218</v>
      </c>
      <c r="K53" s="91" t="s">
        <v>219</v>
      </c>
      <c r="L53" s="36" t="s">
        <v>151</v>
      </c>
      <c r="M53" s="36"/>
      <c r="N53" s="20" t="s">
        <v>483</v>
      </c>
      <c r="O53" s="20" t="s">
        <v>484</v>
      </c>
      <c r="P53" s="119" t="s">
        <v>247</v>
      </c>
      <c r="Q53" s="31" t="s">
        <v>248</v>
      </c>
      <c r="R53" s="20" t="s">
        <v>23</v>
      </c>
      <c r="S53" s="49" t="s">
        <v>509</v>
      </c>
    </row>
    <row r="54" spans="2:19" ht="14.85" customHeight="1" x14ac:dyDescent="0.25">
      <c r="B54" s="20" t="s">
        <v>216</v>
      </c>
      <c r="C54" s="21">
        <v>4515010</v>
      </c>
      <c r="D54" s="98" t="s">
        <v>485</v>
      </c>
      <c r="E54" s="98">
        <v>4515010</v>
      </c>
      <c r="F54" s="99" t="s">
        <v>216</v>
      </c>
      <c r="G54" s="122" t="s">
        <v>486</v>
      </c>
      <c r="H54" s="23" t="s">
        <v>477</v>
      </c>
      <c r="I54" s="23" t="s">
        <v>478</v>
      </c>
      <c r="J54" s="22" t="s">
        <v>218</v>
      </c>
      <c r="K54" s="91" t="s">
        <v>219</v>
      </c>
      <c r="L54" s="36" t="s">
        <v>151</v>
      </c>
      <c r="M54" s="36"/>
      <c r="N54" s="20" t="s">
        <v>487</v>
      </c>
      <c r="O54" s="20" t="s">
        <v>488</v>
      </c>
      <c r="P54" s="119" t="s">
        <v>489</v>
      </c>
      <c r="Q54" s="31" t="s">
        <v>490</v>
      </c>
      <c r="R54" s="20" t="s">
        <v>23</v>
      </c>
      <c r="S54" s="49" t="s">
        <v>508</v>
      </c>
    </row>
    <row r="55" spans="2:19" ht="14.85" customHeight="1" x14ac:dyDescent="0.25">
      <c r="B55" s="20" t="s">
        <v>216</v>
      </c>
      <c r="C55" s="21">
        <v>4515100</v>
      </c>
      <c r="D55" s="98" t="s">
        <v>491</v>
      </c>
      <c r="E55" s="98">
        <v>4515100</v>
      </c>
      <c r="F55" s="99" t="s">
        <v>216</v>
      </c>
      <c r="G55" s="122" t="s">
        <v>492</v>
      </c>
      <c r="H55" s="23" t="s">
        <v>466</v>
      </c>
      <c r="I55" s="23" t="s">
        <v>232</v>
      </c>
      <c r="J55" s="22" t="s">
        <v>218</v>
      </c>
      <c r="K55" s="91" t="s">
        <v>219</v>
      </c>
      <c r="L55" s="36" t="s">
        <v>151</v>
      </c>
      <c r="M55" s="36"/>
      <c r="N55" s="20" t="s">
        <v>493</v>
      </c>
      <c r="O55" s="20" t="s">
        <v>494</v>
      </c>
      <c r="P55" s="119" t="s">
        <v>495</v>
      </c>
      <c r="Q55" s="31" t="s">
        <v>496</v>
      </c>
      <c r="R55" s="20" t="s">
        <v>23</v>
      </c>
      <c r="S55" s="49" t="s">
        <v>509</v>
      </c>
    </row>
    <row r="56" spans="2:19" ht="14.85" customHeight="1" x14ac:dyDescent="0.25">
      <c r="B56" s="20" t="s">
        <v>216</v>
      </c>
      <c r="C56" s="21">
        <v>4515001</v>
      </c>
      <c r="D56" s="98" t="s">
        <v>497</v>
      </c>
      <c r="E56" s="98">
        <v>4515001</v>
      </c>
      <c r="F56" s="99" t="s">
        <v>216</v>
      </c>
      <c r="G56" s="122" t="s">
        <v>497</v>
      </c>
      <c r="H56" s="23"/>
      <c r="I56" s="23"/>
      <c r="J56" s="22" t="s">
        <v>218</v>
      </c>
      <c r="K56" s="91" t="s">
        <v>219</v>
      </c>
      <c r="L56" s="36" t="s">
        <v>151</v>
      </c>
      <c r="M56" s="36"/>
      <c r="N56" s="20" t="s">
        <v>260</v>
      </c>
      <c r="O56" s="20"/>
      <c r="P56" s="119"/>
      <c r="Q56" s="31"/>
      <c r="R56" s="20" t="s">
        <v>28</v>
      </c>
      <c r="S56" s="49" t="s">
        <v>509</v>
      </c>
    </row>
    <row r="57" spans="2:19" ht="14.85" customHeight="1" x14ac:dyDescent="0.25">
      <c r="B57" s="20" t="s">
        <v>216</v>
      </c>
      <c r="C57" s="21">
        <v>4515900</v>
      </c>
      <c r="D57" s="98" t="s">
        <v>499</v>
      </c>
      <c r="E57" s="98">
        <v>4515900</v>
      </c>
      <c r="F57" s="99" t="s">
        <v>216</v>
      </c>
      <c r="G57" s="122" t="s">
        <v>499</v>
      </c>
      <c r="H57" s="23" t="s">
        <v>477</v>
      </c>
      <c r="I57" s="23" t="s">
        <v>478</v>
      </c>
      <c r="J57" s="22" t="s">
        <v>218</v>
      </c>
      <c r="K57" s="91" t="s">
        <v>219</v>
      </c>
      <c r="L57" s="36" t="s">
        <v>151</v>
      </c>
      <c r="M57" s="36"/>
      <c r="N57" s="20" t="s">
        <v>500</v>
      </c>
      <c r="O57" s="20" t="s">
        <v>501</v>
      </c>
      <c r="P57" s="119" t="s">
        <v>502</v>
      </c>
      <c r="Q57" s="31" t="s">
        <v>503</v>
      </c>
      <c r="R57" s="20" t="s">
        <v>23</v>
      </c>
      <c r="S57" s="49" t="s">
        <v>509</v>
      </c>
    </row>
    <row r="58" spans="2:19" ht="14.85" customHeight="1" x14ac:dyDescent="0.25">
      <c r="B58" s="99" t="s">
        <v>216</v>
      </c>
      <c r="C58" s="21">
        <v>4515020</v>
      </c>
      <c r="D58" s="98" t="s">
        <v>504</v>
      </c>
      <c r="E58" s="98">
        <v>4515020</v>
      </c>
      <c r="F58" s="99" t="s">
        <v>216</v>
      </c>
      <c r="G58" s="84" t="s">
        <v>504</v>
      </c>
      <c r="H58" s="23" t="s">
        <v>466</v>
      </c>
      <c r="I58" s="23" t="s">
        <v>232</v>
      </c>
      <c r="J58" s="22" t="s">
        <v>218</v>
      </c>
      <c r="K58" s="91" t="s">
        <v>219</v>
      </c>
      <c r="L58" s="36" t="s">
        <v>151</v>
      </c>
      <c r="M58" s="36"/>
      <c r="N58" s="20" t="s">
        <v>264</v>
      </c>
      <c r="O58" s="20"/>
      <c r="P58" s="119"/>
      <c r="Q58" s="31"/>
      <c r="R58" s="20" t="s">
        <v>28</v>
      </c>
      <c r="S58" s="49" t="e">
        <v>#N/A</v>
      </c>
    </row>
  </sheetData>
  <autoFilter ref="B1:S58" xr:uid="{17FF93D1-18C3-41A2-A800-EAFF4AE2C2A5}"/>
  <hyperlinks>
    <hyperlink ref="Q35" r:id="rId1" display="MMuller@dctabudhabi.ae,RFranchi@dctabudhabi.ae,BKattan@dctabudhabi.ae" xr:uid="{338330B1-E09E-4799-9EE4-60DE7542B342}"/>
    <hyperlink ref="Q49" r:id="rId2" xr:uid="{DEA033C8-837B-4D41-B031-C57683EFFDCC}"/>
    <hyperlink ref="Q50" r:id="rId3" xr:uid="{CE245F7E-9DFC-4BF4-9F15-829C50B5A6FC}"/>
    <hyperlink ref="Q51" r:id="rId4" xr:uid="{1C742FC7-4074-4C42-8FFD-E647A36DCC6D}"/>
    <hyperlink ref="Q53" r:id="rId5" xr:uid="{F6D38FD3-22B8-4508-A613-730A4E90D940}"/>
    <hyperlink ref="Q54" r:id="rId6" display="VGorthy@dctabudhabi.ae / " xr:uid="{9F2316A0-9FE5-42C4-B061-9BF4FB31A5E2}"/>
    <hyperlink ref="Q56" r:id="rId7" display="MEzzeldin@dctabudhabi.ae" xr:uid="{ECB3E194-992E-49B4-9A07-6B33BC4B1D9B}"/>
    <hyperlink ref="Q57" r:id="rId8" display="AbSBlooshi@dctabudhabi.ae" xr:uid="{0187359B-7053-4EB0-8F3D-38892EE14E97}"/>
    <hyperlink ref="Q17" r:id="rId9" display="AMHumaid@dctabudhabi.ae,EHashim@dctabudhabi.ae ,YElHassan@dctabudhabi.ae" xr:uid="{AF3991A7-5B49-4E50-BB2D-82B0F9080DB5}"/>
    <hyperlink ref="Q14" r:id="rId10" xr:uid="{105114FA-A93E-4542-9914-C4D6C1ADCE25}"/>
    <hyperlink ref="Q21" r:id="rId11" display="JMatthews@dctabudhabi.ae ,LTeneiji@dctabudhabi.ae,RAbdulJabbar@dctabudhabi.ae" xr:uid="{BC6FD290-DAC6-43B6-8793-4AA2F3F388A4}"/>
    <hyperlink ref="Q20" r:id="rId12" display="MOsman@dctabudhabi.ae , " xr:uid="{9286B129-7CA0-4DC7-8553-18BD3997C27F}"/>
    <hyperlink ref="Q16" r:id="rId13" display="MBadi@dctabudhabi.ae" xr:uid="{87922AE0-DE48-412B-BA48-A58AC0B07CCA}"/>
    <hyperlink ref="Q18" r:id="rId14" xr:uid="{C2DD02F9-0DB2-4D70-9674-6D3A75383CE1}"/>
    <hyperlink ref="Q9" r:id="rId15" xr:uid="{0BE99C6E-999C-4D70-B296-537543149929}"/>
    <hyperlink ref="Q8" r:id="rId16" xr:uid="{ED43E093-3862-432E-94ED-F0412599F4CC}"/>
    <hyperlink ref="Q7" r:id="rId17" xr:uid="{1CB913F0-F356-4FF5-95C1-A802C50849C4}"/>
    <hyperlink ref="Q11" r:id="rId18" display="m.alharmoodi@dctabudhabi.ae/snasri@dctabudhabi.ae" xr:uid="{EFEA62F9-841C-4215-AC5F-46E2A09FC07E}"/>
    <hyperlink ref="Q13" r:id="rId19" display="JAwadi@dctabudhabi.ae" xr:uid="{7C295687-3048-4202-8F47-CCD9BAC7553C}"/>
    <hyperlink ref="Q41" r:id="rId20" display="EFattah@dctabudhabi.ae" xr:uid="{235855C9-7676-4383-8CF8-6F52E02272F8}"/>
    <hyperlink ref="Q40" r:id="rId21" display="EFattah@dctabudhabi.ae" xr:uid="{97672EF8-066C-403D-99CD-092CE6AD5985}"/>
    <hyperlink ref="Q39" r:id="rId22" display="EFattah@dctabudhabi.ae" xr:uid="{F4B8912A-8BAF-468E-ADB5-C23A3ECF8600}"/>
    <hyperlink ref="Q38" r:id="rId23" display="EFattah@dctabudhabi.ae" xr:uid="{5E9CA181-F811-4814-8584-0F413E4EA0A5}"/>
    <hyperlink ref="Q55" r:id="rId24" display="DSherif@dctabudhabi.ae /" xr:uid="{B4FB8964-1285-4456-9D9C-D3DB31B27E1E}"/>
  </hyperlinks>
  <pageMargins left="0.7" right="0.7" top="0.75" bottom="0.75" header="0.3" footer="0.3"/>
  <pageSetup paperSize="9" orientation="portrait" r:id="rId2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92E15-410C-40F9-9F4E-8A4899B65148}">
  <sheetPr codeName="Sheet5"/>
  <dimension ref="A2:G60"/>
  <sheetViews>
    <sheetView topLeftCell="A36" workbookViewId="0">
      <selection activeCell="E14" sqref="E14"/>
    </sheetView>
  </sheetViews>
  <sheetFormatPr defaultRowHeight="15" x14ac:dyDescent="0.25"/>
  <cols>
    <col min="1" max="1" width="36.42578125" bestFit="1" customWidth="1"/>
    <col min="2" max="2" width="12" bestFit="1" customWidth="1"/>
    <col min="3" max="3" width="47.85546875" bestFit="1" customWidth="1"/>
    <col min="4" max="4" width="15.42578125" bestFit="1" customWidth="1"/>
    <col min="5" max="5" width="52.42578125" style="1" customWidth="1"/>
    <col min="6" max="6" width="107.42578125" customWidth="1"/>
    <col min="7" max="7" width="61.5703125" customWidth="1"/>
  </cols>
  <sheetData>
    <row r="2" spans="1:7" ht="23.25" x14ac:dyDescent="0.35">
      <c r="A2" s="54" t="s">
        <v>516</v>
      </c>
      <c r="E2"/>
    </row>
    <row r="3" spans="1:7" x14ac:dyDescent="0.25">
      <c r="E3"/>
    </row>
    <row r="4" spans="1:7" x14ac:dyDescent="0.25">
      <c r="E4"/>
    </row>
    <row r="5" spans="1:7" x14ac:dyDescent="0.25">
      <c r="A5" s="55" t="s">
        <v>517</v>
      </c>
      <c r="B5" s="55" t="s">
        <v>518</v>
      </c>
      <c r="C5" s="55" t="s">
        <v>519</v>
      </c>
      <c r="D5" s="55" t="s">
        <v>520</v>
      </c>
      <c r="E5" s="55" t="s">
        <v>521</v>
      </c>
      <c r="F5" s="55" t="s">
        <v>522</v>
      </c>
    </row>
    <row r="6" spans="1:7" ht="30" x14ac:dyDescent="0.25">
      <c r="A6" s="56" t="s">
        <v>512</v>
      </c>
      <c r="B6" s="57" t="s">
        <v>523</v>
      </c>
      <c r="C6" s="56" t="s">
        <v>524</v>
      </c>
      <c r="D6" s="56" t="s">
        <v>525</v>
      </c>
      <c r="E6" s="58" t="s">
        <v>526</v>
      </c>
      <c r="F6" s="59"/>
    </row>
    <row r="7" spans="1:7" ht="30" x14ac:dyDescent="0.25">
      <c r="A7" s="56" t="s">
        <v>512</v>
      </c>
      <c r="B7" s="57" t="s">
        <v>523</v>
      </c>
      <c r="C7" s="56" t="s">
        <v>524</v>
      </c>
      <c r="D7" s="56" t="s">
        <v>525</v>
      </c>
      <c r="E7" s="58" t="s">
        <v>527</v>
      </c>
      <c r="F7" s="59" t="s">
        <v>528</v>
      </c>
    </row>
    <row r="8" spans="1:7" ht="30" x14ac:dyDescent="0.25">
      <c r="A8" s="56" t="s">
        <v>512</v>
      </c>
      <c r="B8" s="57" t="s">
        <v>523</v>
      </c>
      <c r="C8" s="56" t="s">
        <v>524</v>
      </c>
      <c r="D8" s="56" t="s">
        <v>525</v>
      </c>
      <c r="E8" s="58" t="s">
        <v>411</v>
      </c>
      <c r="F8" s="59" t="s">
        <v>529</v>
      </c>
    </row>
    <row r="9" spans="1:7" x14ac:dyDescent="0.25">
      <c r="A9" s="56" t="s">
        <v>512</v>
      </c>
      <c r="B9" s="57" t="s">
        <v>523</v>
      </c>
      <c r="C9" s="56" t="s">
        <v>524</v>
      </c>
      <c r="D9" s="56" t="s">
        <v>525</v>
      </c>
      <c r="E9" s="58" t="s">
        <v>430</v>
      </c>
      <c r="F9" s="59" t="s">
        <v>530</v>
      </c>
    </row>
    <row r="10" spans="1:7" x14ac:dyDescent="0.25">
      <c r="A10" s="56" t="s">
        <v>512</v>
      </c>
      <c r="B10" s="57" t="s">
        <v>523</v>
      </c>
      <c r="C10" s="56" t="s">
        <v>524</v>
      </c>
      <c r="D10" s="56" t="s">
        <v>525</v>
      </c>
      <c r="E10" s="58" t="s">
        <v>531</v>
      </c>
      <c r="F10" s="59" t="s">
        <v>532</v>
      </c>
    </row>
    <row r="11" spans="1:7" x14ac:dyDescent="0.25">
      <c r="E11"/>
    </row>
    <row r="12" spans="1:7" x14ac:dyDescent="0.25">
      <c r="E12"/>
    </row>
    <row r="13" spans="1:7" x14ac:dyDescent="0.25">
      <c r="A13" s="55" t="s">
        <v>517</v>
      </c>
      <c r="B13" s="55" t="s">
        <v>518</v>
      </c>
      <c r="C13" s="55" t="s">
        <v>519</v>
      </c>
      <c r="D13" s="55" t="s">
        <v>520</v>
      </c>
      <c r="E13" s="60" t="s">
        <v>521</v>
      </c>
      <c r="F13" s="55" t="s">
        <v>522</v>
      </c>
    </row>
    <row r="14" spans="1:7" ht="30" x14ac:dyDescent="0.25">
      <c r="A14" s="56" t="s">
        <v>512</v>
      </c>
      <c r="B14" s="57">
        <v>4518113</v>
      </c>
      <c r="C14" s="61" t="s">
        <v>533</v>
      </c>
      <c r="D14" s="56" t="s">
        <v>525</v>
      </c>
      <c r="E14" s="62" t="s">
        <v>418</v>
      </c>
      <c r="F14" s="59" t="s">
        <v>534</v>
      </c>
      <c r="G14" t="str">
        <f>VLOOKUP(B14,'Director &amp; ED Sep.25'!C:G,4,)</f>
        <v>Strategic Affairs</v>
      </c>
    </row>
    <row r="15" spans="1:7" x14ac:dyDescent="0.25">
      <c r="A15" s="56" t="s">
        <v>535</v>
      </c>
      <c r="B15" s="63">
        <v>4511300</v>
      </c>
      <c r="C15" s="61" t="s">
        <v>66</v>
      </c>
      <c r="D15" s="56" t="s">
        <v>525</v>
      </c>
      <c r="E15" s="64" t="s">
        <v>536</v>
      </c>
      <c r="F15" s="59" t="s">
        <v>534</v>
      </c>
      <c r="G15" t="str">
        <f>VLOOKUP(B15,'Director &amp; ED Sep.25'!C:G,4,)</f>
        <v>Culture</v>
      </c>
    </row>
    <row r="16" spans="1:7" x14ac:dyDescent="0.25">
      <c r="A16" s="56" t="s">
        <v>535</v>
      </c>
      <c r="B16" s="63">
        <v>4511600</v>
      </c>
      <c r="C16" s="61" t="s">
        <v>71</v>
      </c>
      <c r="D16" s="56" t="s">
        <v>525</v>
      </c>
      <c r="E16" s="64" t="s">
        <v>312</v>
      </c>
      <c r="F16" s="59"/>
      <c r="G16" t="str">
        <f>VLOOKUP(B16,'Director &amp; ED Sep.25'!C:G,4,)</f>
        <v>Culture</v>
      </c>
    </row>
    <row r="17" spans="1:7" x14ac:dyDescent="0.25">
      <c r="A17" s="56" t="s">
        <v>535</v>
      </c>
      <c r="B17" s="63">
        <v>4516100</v>
      </c>
      <c r="C17" s="61" t="s">
        <v>316</v>
      </c>
      <c r="D17" s="56" t="s">
        <v>525</v>
      </c>
      <c r="E17" s="63" t="s">
        <v>317</v>
      </c>
      <c r="F17" s="59"/>
      <c r="G17" t="str">
        <f>VLOOKUP(B17,'Director &amp; ED Sep.25'!C:G,4,)</f>
        <v>Culture</v>
      </c>
    </row>
    <row r="18" spans="1:7" x14ac:dyDescent="0.25">
      <c r="A18" s="56" t="s">
        <v>535</v>
      </c>
      <c r="B18" s="63">
        <v>4511010</v>
      </c>
      <c r="C18" s="61" t="s">
        <v>537</v>
      </c>
      <c r="D18" s="56" t="s">
        <v>525</v>
      </c>
      <c r="E18" s="64" t="s">
        <v>538</v>
      </c>
      <c r="F18" s="59"/>
      <c r="G18" t="str">
        <f>VLOOKUP(B18,'Director &amp; ED Sep.25'!C:G,4,)</f>
        <v>Culture</v>
      </c>
    </row>
    <row r="19" spans="1:7" x14ac:dyDescent="0.25">
      <c r="A19" s="56" t="s">
        <v>535</v>
      </c>
      <c r="B19" s="63">
        <v>4511011</v>
      </c>
      <c r="C19" s="61" t="s">
        <v>325</v>
      </c>
      <c r="D19" s="56" t="s">
        <v>525</v>
      </c>
      <c r="E19" s="56" t="s">
        <v>524</v>
      </c>
      <c r="F19" s="59" t="s">
        <v>539</v>
      </c>
      <c r="G19">
        <f>VLOOKUP(B19,'Director &amp; ED Sep.25'!C:G,4,)</f>
        <v>0</v>
      </c>
    </row>
    <row r="20" spans="1:7" x14ac:dyDescent="0.25">
      <c r="A20" s="56" t="s">
        <v>535</v>
      </c>
      <c r="B20" s="63">
        <v>4511150</v>
      </c>
      <c r="C20" s="61" t="s">
        <v>92</v>
      </c>
      <c r="D20" s="56" t="s">
        <v>525</v>
      </c>
      <c r="E20" s="65" t="s">
        <v>331</v>
      </c>
      <c r="F20" s="59" t="s">
        <v>540</v>
      </c>
      <c r="G20" t="str">
        <f>VLOOKUP(B20,'Director &amp; ED Sep.25'!C:G,4,)</f>
        <v>Culture</v>
      </c>
    </row>
    <row r="21" spans="1:7" x14ac:dyDescent="0.25">
      <c r="A21" s="56" t="s">
        <v>535</v>
      </c>
      <c r="B21" s="63">
        <v>4511250</v>
      </c>
      <c r="C21" s="66" t="s">
        <v>100</v>
      </c>
      <c r="D21" s="56" t="s">
        <v>525</v>
      </c>
      <c r="E21" s="66" t="s">
        <v>332</v>
      </c>
      <c r="F21" s="59"/>
      <c r="G21" t="str">
        <f>VLOOKUP(B21,'Director &amp; ED Sep.25'!C:G,4,)</f>
        <v>Culture</v>
      </c>
    </row>
    <row r="22" spans="1:7" x14ac:dyDescent="0.25">
      <c r="A22" s="56" t="s">
        <v>535</v>
      </c>
      <c r="B22" s="63">
        <v>4511550</v>
      </c>
      <c r="C22" s="66" t="s">
        <v>105</v>
      </c>
      <c r="D22" s="56" t="s">
        <v>525</v>
      </c>
      <c r="E22" s="67" t="s">
        <v>339</v>
      </c>
      <c r="F22" s="59" t="s">
        <v>534</v>
      </c>
      <c r="G22" t="str">
        <f>VLOOKUP(B22,'Director &amp; ED Sep.25'!C:G,4,)</f>
        <v>Culture</v>
      </c>
    </row>
    <row r="23" spans="1:7" x14ac:dyDescent="0.25">
      <c r="A23" s="56" t="s">
        <v>535</v>
      </c>
      <c r="B23" s="63">
        <v>4511700</v>
      </c>
      <c r="C23" s="66" t="s">
        <v>541</v>
      </c>
      <c r="D23" s="56" t="s">
        <v>525</v>
      </c>
      <c r="E23" s="67" t="s">
        <v>343</v>
      </c>
      <c r="F23" s="59"/>
      <c r="G23" t="str">
        <f>VLOOKUP(B23,'Director &amp; ED Sep.25'!C:G,4,)</f>
        <v>Culture</v>
      </c>
    </row>
    <row r="24" spans="1:7" x14ac:dyDescent="0.25">
      <c r="A24" s="56" t="s">
        <v>535</v>
      </c>
      <c r="B24" s="63">
        <v>4511750</v>
      </c>
      <c r="C24" s="66" t="s">
        <v>346</v>
      </c>
      <c r="D24" s="56" t="s">
        <v>525</v>
      </c>
      <c r="E24" s="67" t="s">
        <v>542</v>
      </c>
      <c r="F24" s="59" t="s">
        <v>534</v>
      </c>
      <c r="G24" t="str">
        <f>VLOOKUP(B24,'Director &amp; ED Sep.25'!C:G,4,)</f>
        <v>Culture</v>
      </c>
    </row>
    <row r="25" spans="1:7" x14ac:dyDescent="0.25">
      <c r="A25" s="56" t="s">
        <v>535</v>
      </c>
      <c r="B25" s="63">
        <v>4511800</v>
      </c>
      <c r="C25" s="66" t="s">
        <v>543</v>
      </c>
      <c r="D25" s="56" t="s">
        <v>525</v>
      </c>
      <c r="E25" s="67" t="s">
        <v>544</v>
      </c>
      <c r="F25" s="59" t="s">
        <v>534</v>
      </c>
      <c r="G25" t="str">
        <f>VLOOKUP(B25,'Director &amp; ED Sep.25'!C:G,4,)</f>
        <v>Culture</v>
      </c>
    </row>
    <row r="26" spans="1:7" x14ac:dyDescent="0.25">
      <c r="A26" s="56" t="s">
        <v>535</v>
      </c>
      <c r="B26" s="57">
        <v>4510110</v>
      </c>
      <c r="C26" s="66" t="s">
        <v>356</v>
      </c>
      <c r="D26" s="56" t="s">
        <v>525</v>
      </c>
      <c r="E26" s="68" t="s">
        <v>545</v>
      </c>
      <c r="F26" s="59" t="s">
        <v>546</v>
      </c>
      <c r="G26" t="str">
        <f>VLOOKUP(B26,'Director &amp; ED Sep.25'!C:G,4,)</f>
        <v xml:space="preserve">Executive Office </v>
      </c>
    </row>
    <row r="27" spans="1:7" x14ac:dyDescent="0.25">
      <c r="A27" s="56" t="s">
        <v>535</v>
      </c>
      <c r="B27" s="63">
        <v>4510140</v>
      </c>
      <c r="C27" s="66" t="s">
        <v>366</v>
      </c>
      <c r="D27" s="56" t="s">
        <v>525</v>
      </c>
      <c r="E27" s="67" t="s">
        <v>367</v>
      </c>
      <c r="F27" s="59"/>
      <c r="G27" t="str">
        <f>VLOOKUP(B27,'Director &amp; ED Sep.25'!C:G,4,)</f>
        <v xml:space="preserve">Executive Office </v>
      </c>
    </row>
    <row r="28" spans="1:7" x14ac:dyDescent="0.25">
      <c r="A28" s="56" t="s">
        <v>535</v>
      </c>
      <c r="B28" s="63">
        <v>4510150</v>
      </c>
      <c r="C28" s="66" t="s">
        <v>372</v>
      </c>
      <c r="D28" s="56" t="s">
        <v>525</v>
      </c>
      <c r="E28" s="67" t="s">
        <v>547</v>
      </c>
      <c r="F28" s="59" t="s">
        <v>534</v>
      </c>
      <c r="G28" t="str">
        <f>VLOOKUP(B28,'Director &amp; ED Sep.25'!C:G,4,)</f>
        <v xml:space="preserve">Executive Office </v>
      </c>
    </row>
    <row r="29" spans="1:7" x14ac:dyDescent="0.25">
      <c r="A29" s="56" t="s">
        <v>535</v>
      </c>
      <c r="B29" s="63">
        <v>4510155</v>
      </c>
      <c r="C29" s="66" t="s">
        <v>379</v>
      </c>
      <c r="D29" s="56" t="s">
        <v>525</v>
      </c>
      <c r="E29" s="67" t="s">
        <v>548</v>
      </c>
      <c r="F29" s="59" t="s">
        <v>534</v>
      </c>
      <c r="G29" t="str">
        <f>VLOOKUP(B29,'Director &amp; ED Sep.25'!C:G,4,)</f>
        <v xml:space="preserve">Executive Office </v>
      </c>
    </row>
    <row r="30" spans="1:7" x14ac:dyDescent="0.25">
      <c r="A30" s="56" t="s">
        <v>535</v>
      </c>
      <c r="B30" s="63">
        <v>4510160</v>
      </c>
      <c r="C30" s="66" t="s">
        <v>382</v>
      </c>
      <c r="D30" s="56" t="s">
        <v>525</v>
      </c>
      <c r="E30" s="67" t="s">
        <v>549</v>
      </c>
      <c r="F30" s="59" t="s">
        <v>534</v>
      </c>
      <c r="G30" t="str">
        <f>VLOOKUP(B30,'Director &amp; ED Sep.25'!C:G,4,)</f>
        <v xml:space="preserve">Executive Office </v>
      </c>
    </row>
    <row r="31" spans="1:7" x14ac:dyDescent="0.25">
      <c r="A31" s="56" t="s">
        <v>535</v>
      </c>
      <c r="B31" s="69">
        <v>4510011</v>
      </c>
      <c r="C31" s="70" t="s">
        <v>550</v>
      </c>
      <c r="D31" s="56" t="s">
        <v>525</v>
      </c>
      <c r="E31" s="67" t="s">
        <v>386</v>
      </c>
      <c r="F31" s="59" t="s">
        <v>534</v>
      </c>
      <c r="G31" t="str">
        <f>VLOOKUP(B31,'Director &amp; ED Sep.25'!C:G,4,)</f>
        <v xml:space="preserve">Executive Office </v>
      </c>
    </row>
    <row r="32" spans="1:7" x14ac:dyDescent="0.25">
      <c r="A32" s="56" t="s">
        <v>535</v>
      </c>
      <c r="B32" s="71">
        <v>4512010</v>
      </c>
      <c r="C32" s="72" t="s">
        <v>387</v>
      </c>
      <c r="D32" s="56" t="s">
        <v>525</v>
      </c>
      <c r="E32" s="67" t="s">
        <v>551</v>
      </c>
      <c r="F32" s="59"/>
      <c r="G32" t="str">
        <f>VLOOKUP(B32,'Director &amp; ED Sep.25'!C:G,4,)</f>
        <v>Strategic Affairs</v>
      </c>
    </row>
    <row r="33" spans="1:7" x14ac:dyDescent="0.25">
      <c r="A33" s="56" t="s">
        <v>535</v>
      </c>
      <c r="B33" s="57">
        <v>4512100</v>
      </c>
      <c r="C33" s="57" t="s">
        <v>552</v>
      </c>
      <c r="D33" s="56" t="s">
        <v>525</v>
      </c>
      <c r="E33" s="57" t="s">
        <v>553</v>
      </c>
      <c r="F33" s="59"/>
      <c r="G33" t="str">
        <f>VLOOKUP(B33,'Director &amp; ED Sep.25'!C:G,4,)</f>
        <v>Strategic Affairs</v>
      </c>
    </row>
    <row r="34" spans="1:7" x14ac:dyDescent="0.25">
      <c r="A34" s="56" t="s">
        <v>535</v>
      </c>
      <c r="B34" s="63">
        <v>4512200</v>
      </c>
      <c r="C34" s="66" t="s">
        <v>399</v>
      </c>
      <c r="D34" s="56" t="s">
        <v>525</v>
      </c>
      <c r="E34" s="66" t="s">
        <v>554</v>
      </c>
      <c r="F34" s="59" t="s">
        <v>555</v>
      </c>
      <c r="G34" t="str">
        <f>VLOOKUP(B34,'Director &amp; ED Sep.25'!C:G,4,)</f>
        <v>Strategic Affairs</v>
      </c>
    </row>
    <row r="35" spans="1:7" x14ac:dyDescent="0.25">
      <c r="A35" s="56" t="s">
        <v>535</v>
      </c>
      <c r="B35" s="63">
        <v>4512300</v>
      </c>
      <c r="C35" s="66" t="s">
        <v>405</v>
      </c>
      <c r="D35" s="56" t="s">
        <v>525</v>
      </c>
      <c r="E35" s="67" t="s">
        <v>556</v>
      </c>
      <c r="F35" s="59"/>
      <c r="G35" t="str">
        <f>VLOOKUP(B35,'Director &amp; ED Sep.25'!C:G,4,)</f>
        <v>Strategic Affairs</v>
      </c>
    </row>
    <row r="36" spans="1:7" x14ac:dyDescent="0.25">
      <c r="A36" s="56" t="s">
        <v>535</v>
      </c>
      <c r="B36" s="63">
        <v>4513110</v>
      </c>
      <c r="C36" s="66" t="s">
        <v>557</v>
      </c>
      <c r="D36" s="56" t="s">
        <v>525</v>
      </c>
      <c r="E36" s="67" t="s">
        <v>170</v>
      </c>
      <c r="F36" s="59" t="s">
        <v>534</v>
      </c>
      <c r="G36" t="str">
        <f>VLOOKUP(B36,'Director &amp; ED Sep.25'!C:G,4,)</f>
        <v>Strategic Marketing &amp; Communication</v>
      </c>
    </row>
    <row r="37" spans="1:7" x14ac:dyDescent="0.25">
      <c r="A37" s="56" t="s">
        <v>535</v>
      </c>
      <c r="B37" s="63">
        <v>4513120</v>
      </c>
      <c r="C37" s="66" t="s">
        <v>558</v>
      </c>
      <c r="D37" s="56" t="s">
        <v>525</v>
      </c>
      <c r="E37" s="67" t="s">
        <v>434</v>
      </c>
      <c r="F37" s="59" t="s">
        <v>534</v>
      </c>
      <c r="G37" t="str">
        <f>VLOOKUP(B37,'Director &amp; ED Sep.25'!C:G,4,)</f>
        <v>Strategic Marketing &amp; Communication</v>
      </c>
    </row>
    <row r="38" spans="1:7" x14ac:dyDescent="0.25">
      <c r="A38" s="56" t="s">
        <v>535</v>
      </c>
      <c r="B38" s="63">
        <v>4513130</v>
      </c>
      <c r="C38" s="66" t="s">
        <v>177</v>
      </c>
      <c r="D38" s="56" t="s">
        <v>525</v>
      </c>
      <c r="E38" s="67" t="s">
        <v>177</v>
      </c>
      <c r="F38" s="59" t="s">
        <v>534</v>
      </c>
      <c r="G38" t="str">
        <f>VLOOKUP(B38,'Director &amp; ED Sep.25'!C:G,4,)</f>
        <v>Strategic Marketing &amp; Communication</v>
      </c>
    </row>
    <row r="39" spans="1:7" x14ac:dyDescent="0.25">
      <c r="A39" s="56" t="s">
        <v>535</v>
      </c>
      <c r="B39" s="63">
        <v>4513140</v>
      </c>
      <c r="C39" s="66" t="s">
        <v>438</v>
      </c>
      <c r="D39" s="56" t="s">
        <v>525</v>
      </c>
      <c r="E39" s="67" t="s">
        <v>438</v>
      </c>
      <c r="F39" s="59" t="s">
        <v>534</v>
      </c>
      <c r="G39" t="str">
        <f>VLOOKUP(B39,'Director &amp; ED Sep.25'!C:G,4,)</f>
        <v>Strategic Marketing &amp; Communication</v>
      </c>
    </row>
    <row r="40" spans="1:7" x14ac:dyDescent="0.25">
      <c r="A40" s="56" t="s">
        <v>535</v>
      </c>
      <c r="B40" s="69">
        <v>4513111</v>
      </c>
      <c r="C40" s="70" t="s">
        <v>440</v>
      </c>
      <c r="D40" s="56" t="s">
        <v>525</v>
      </c>
      <c r="E40" s="67" t="s">
        <v>559</v>
      </c>
      <c r="F40" s="59" t="s">
        <v>534</v>
      </c>
      <c r="G40">
        <f>VLOOKUP(B40,'Director &amp; ED Sep.25'!C:G,4,)</f>
        <v>0</v>
      </c>
    </row>
    <row r="41" spans="1:7" x14ac:dyDescent="0.25">
      <c r="A41" s="56" t="s">
        <v>535</v>
      </c>
      <c r="B41" s="63">
        <v>4510201</v>
      </c>
      <c r="C41" s="66" t="s">
        <v>441</v>
      </c>
      <c r="D41" s="56" t="s">
        <v>525</v>
      </c>
      <c r="E41" s="66" t="s">
        <v>560</v>
      </c>
      <c r="F41" s="59"/>
      <c r="G41" t="str">
        <f>VLOOKUP(B41,'Director &amp; ED Sep.25'!C:G,4,)</f>
        <v>Support Services</v>
      </c>
    </row>
    <row r="42" spans="1:7" x14ac:dyDescent="0.25">
      <c r="A42" s="56" t="s">
        <v>535</v>
      </c>
      <c r="B42" s="63">
        <v>4510210</v>
      </c>
      <c r="C42" s="66" t="s">
        <v>447</v>
      </c>
      <c r="D42" s="56" t="s">
        <v>525</v>
      </c>
      <c r="E42" s="66" t="s">
        <v>561</v>
      </c>
      <c r="F42" s="59" t="s">
        <v>534</v>
      </c>
      <c r="G42" t="str">
        <f>VLOOKUP(B42,'Director &amp; ED Sep.25'!C:G,4,)</f>
        <v>Support Services</v>
      </c>
    </row>
    <row r="43" spans="1:7" x14ac:dyDescent="0.25">
      <c r="A43" s="56" t="s">
        <v>535</v>
      </c>
      <c r="B43" s="63">
        <v>4510220</v>
      </c>
      <c r="C43" s="66" t="s">
        <v>450</v>
      </c>
      <c r="D43" s="56" t="s">
        <v>525</v>
      </c>
      <c r="E43" s="66" t="s">
        <v>562</v>
      </c>
      <c r="F43" s="59" t="s">
        <v>534</v>
      </c>
      <c r="G43" t="str">
        <f>VLOOKUP(B43,'Director &amp; ED Sep.25'!C:G,4,)</f>
        <v>Support Services</v>
      </c>
    </row>
    <row r="44" spans="1:7" x14ac:dyDescent="0.25">
      <c r="A44" s="56" t="s">
        <v>535</v>
      </c>
      <c r="B44" s="63">
        <v>4510240</v>
      </c>
      <c r="C44" s="66" t="s">
        <v>452</v>
      </c>
      <c r="D44" s="56" t="s">
        <v>525</v>
      </c>
      <c r="E44" s="66" t="s">
        <v>563</v>
      </c>
      <c r="F44" s="59" t="s">
        <v>534</v>
      </c>
      <c r="G44" t="str">
        <f>VLOOKUP(B44,'Director &amp; ED Sep.25'!C:G,4,)</f>
        <v>Support Services</v>
      </c>
    </row>
    <row r="45" spans="1:7" x14ac:dyDescent="0.25">
      <c r="A45" s="56" t="s">
        <v>535</v>
      </c>
      <c r="B45" s="63">
        <v>4510250</v>
      </c>
      <c r="C45" s="66" t="s">
        <v>455</v>
      </c>
      <c r="D45" s="56" t="s">
        <v>525</v>
      </c>
      <c r="E45" s="66" t="s">
        <v>456</v>
      </c>
      <c r="F45" s="59"/>
      <c r="G45" t="str">
        <f>VLOOKUP(B45,'Director &amp; ED Sep.25'!C:G,4,)</f>
        <v>Support Services</v>
      </c>
    </row>
    <row r="46" spans="1:7" x14ac:dyDescent="0.25">
      <c r="A46" s="56" t="s">
        <v>535</v>
      </c>
      <c r="B46" s="63" t="s">
        <v>564</v>
      </c>
      <c r="C46" s="66" t="s">
        <v>565</v>
      </c>
      <c r="D46" s="56" t="s">
        <v>525</v>
      </c>
      <c r="E46" s="66" t="s">
        <v>566</v>
      </c>
      <c r="F46" s="59" t="s">
        <v>534</v>
      </c>
      <c r="G46" t="e">
        <f>VLOOKUP(B46,'Director &amp; ED Sep.25'!C:G,4,)</f>
        <v>#N/A</v>
      </c>
    </row>
    <row r="47" spans="1:7" x14ac:dyDescent="0.25">
      <c r="A47" s="56" t="s">
        <v>535</v>
      </c>
      <c r="B47" s="69">
        <v>4510230</v>
      </c>
      <c r="C47" s="70" t="s">
        <v>214</v>
      </c>
      <c r="D47" s="56" t="s">
        <v>525</v>
      </c>
      <c r="E47" s="67" t="s">
        <v>524</v>
      </c>
      <c r="F47" s="59" t="s">
        <v>567</v>
      </c>
      <c r="G47" t="str">
        <f>VLOOKUP(B47,'Director &amp; ED Sep.25'!C:G,4,)</f>
        <v>Support Services</v>
      </c>
    </row>
    <row r="48" spans="1:7" x14ac:dyDescent="0.25">
      <c r="A48" s="56" t="s">
        <v>535</v>
      </c>
      <c r="B48" s="63">
        <v>4510170</v>
      </c>
      <c r="C48" s="66" t="s">
        <v>462</v>
      </c>
      <c r="D48" s="56" t="s">
        <v>525</v>
      </c>
      <c r="E48" s="67" t="s">
        <v>568</v>
      </c>
      <c r="F48" s="59" t="s">
        <v>534</v>
      </c>
      <c r="G48" t="str">
        <f>VLOOKUP(B48,'Director &amp; ED Sep.25'!C:G,4,)</f>
        <v>Support Services</v>
      </c>
    </row>
    <row r="49" spans="1:7" x14ac:dyDescent="0.25">
      <c r="A49" s="56" t="s">
        <v>535</v>
      </c>
      <c r="B49" s="57">
        <v>4515300</v>
      </c>
      <c r="C49" s="57" t="s">
        <v>465</v>
      </c>
      <c r="D49" s="56" t="s">
        <v>525</v>
      </c>
      <c r="E49" s="67" t="s">
        <v>465</v>
      </c>
      <c r="F49" s="59" t="s">
        <v>534</v>
      </c>
      <c r="G49" t="str">
        <f>VLOOKUP(B49,'Director &amp; ED Sep.25'!C:G,4,)</f>
        <v>Tourism</v>
      </c>
    </row>
    <row r="50" spans="1:7" x14ac:dyDescent="0.25">
      <c r="A50" s="56" t="s">
        <v>535</v>
      </c>
      <c r="B50" s="63">
        <v>4515400</v>
      </c>
      <c r="C50" s="66" t="s">
        <v>233</v>
      </c>
      <c r="D50" s="56" t="s">
        <v>525</v>
      </c>
      <c r="E50" s="67" t="s">
        <v>233</v>
      </c>
      <c r="F50" s="59" t="s">
        <v>534</v>
      </c>
      <c r="G50" t="str">
        <f>VLOOKUP(B50,'Director &amp; ED Sep.25'!C:G,4,)</f>
        <v>Tourism</v>
      </c>
    </row>
    <row r="51" spans="1:7" x14ac:dyDescent="0.25">
      <c r="A51" s="56" t="s">
        <v>535</v>
      </c>
      <c r="B51" s="63">
        <v>4515500</v>
      </c>
      <c r="C51" s="66" t="s">
        <v>240</v>
      </c>
      <c r="D51" s="56" t="s">
        <v>525</v>
      </c>
      <c r="E51" s="67" t="s">
        <v>240</v>
      </c>
      <c r="F51" s="59" t="s">
        <v>534</v>
      </c>
      <c r="G51" t="str">
        <f>VLOOKUP(B51,'Director &amp; ED Sep.25'!C:G,4,)</f>
        <v>Tourism</v>
      </c>
    </row>
    <row r="52" spans="1:7" x14ac:dyDescent="0.25">
      <c r="A52" s="56" t="s">
        <v>535</v>
      </c>
      <c r="B52" s="63">
        <v>4515700</v>
      </c>
      <c r="C52" s="66" t="s">
        <v>482</v>
      </c>
      <c r="D52" s="56" t="s">
        <v>525</v>
      </c>
      <c r="E52" s="67" t="s">
        <v>569</v>
      </c>
      <c r="F52" s="59" t="s">
        <v>534</v>
      </c>
      <c r="G52" t="str">
        <f>VLOOKUP(B52,'Director &amp; ED Sep.25'!C:G,4,)</f>
        <v>Tourism</v>
      </c>
    </row>
    <row r="53" spans="1:7" x14ac:dyDescent="0.25">
      <c r="A53" s="56" t="s">
        <v>535</v>
      </c>
      <c r="B53" s="63">
        <v>4515010</v>
      </c>
      <c r="C53" s="66" t="s">
        <v>485</v>
      </c>
      <c r="D53" s="56" t="s">
        <v>525</v>
      </c>
      <c r="E53" s="67" t="s">
        <v>570</v>
      </c>
      <c r="F53" s="59"/>
      <c r="G53" t="str">
        <f>VLOOKUP(B53,'Director &amp; ED Sep.25'!C:G,4,)</f>
        <v>Tourism</v>
      </c>
    </row>
    <row r="54" spans="1:7" x14ac:dyDescent="0.25">
      <c r="A54" s="56" t="s">
        <v>535</v>
      </c>
      <c r="B54" s="72">
        <v>4515100</v>
      </c>
      <c r="C54" s="66" t="s">
        <v>491</v>
      </c>
      <c r="D54" s="56" t="s">
        <v>525</v>
      </c>
      <c r="E54" s="67" t="s">
        <v>492</v>
      </c>
      <c r="F54" s="59" t="s">
        <v>534</v>
      </c>
      <c r="G54" t="str">
        <f>VLOOKUP(B54,'Director &amp; ED Sep.25'!C:G,4,)</f>
        <v>Tourism</v>
      </c>
    </row>
    <row r="55" spans="1:7" x14ac:dyDescent="0.25">
      <c r="A55" s="56" t="s">
        <v>535</v>
      </c>
      <c r="B55" s="27">
        <v>4515000</v>
      </c>
      <c r="C55" s="26" t="s">
        <v>571</v>
      </c>
      <c r="D55" s="73" t="s">
        <v>525</v>
      </c>
      <c r="E55" s="74" t="s">
        <v>572</v>
      </c>
      <c r="F55" s="59" t="s">
        <v>546</v>
      </c>
      <c r="G55" t="e">
        <f>VLOOKUP(B55,'Director &amp; ED Sep.25'!C:G,4,)</f>
        <v>#N/A</v>
      </c>
    </row>
    <row r="56" spans="1:7" x14ac:dyDescent="0.25">
      <c r="A56" s="56" t="s">
        <v>535</v>
      </c>
      <c r="B56" s="63">
        <v>4515900</v>
      </c>
      <c r="C56" s="66" t="s">
        <v>499</v>
      </c>
      <c r="D56" s="56" t="s">
        <v>525</v>
      </c>
      <c r="E56" s="67" t="s">
        <v>499</v>
      </c>
      <c r="F56" s="59" t="s">
        <v>534</v>
      </c>
      <c r="G56" t="str">
        <f>VLOOKUP(B56,'Director &amp; ED Sep.25'!C:G,4,)</f>
        <v>Tourism</v>
      </c>
    </row>
    <row r="57" spans="1:7" ht="30" x14ac:dyDescent="0.25">
      <c r="A57" s="56" t="s">
        <v>535</v>
      </c>
      <c r="B57" s="75">
        <v>4515020</v>
      </c>
      <c r="C57" s="76" t="s">
        <v>504</v>
      </c>
      <c r="D57" s="56" t="s">
        <v>525</v>
      </c>
      <c r="E57" s="76" t="s">
        <v>504</v>
      </c>
      <c r="F57" s="59" t="s">
        <v>534</v>
      </c>
      <c r="G57" t="str">
        <f>VLOOKUP(B57,'Director &amp; ED Sep.25'!C:G,4,)</f>
        <v>Tourism</v>
      </c>
    </row>
    <row r="58" spans="1:7" x14ac:dyDescent="0.25">
      <c r="A58" s="56" t="s">
        <v>535</v>
      </c>
      <c r="B58" s="75">
        <v>4515030</v>
      </c>
      <c r="C58" s="76" t="s">
        <v>573</v>
      </c>
      <c r="D58" s="56" t="s">
        <v>525</v>
      </c>
      <c r="E58" s="76" t="s">
        <v>573</v>
      </c>
      <c r="F58" s="59" t="s">
        <v>534</v>
      </c>
      <c r="G58" t="e">
        <f>VLOOKUP(B58,'Director &amp; ED Sep.25'!C:G,4,)</f>
        <v>#N/A</v>
      </c>
    </row>
    <row r="59" spans="1:7" x14ac:dyDescent="0.25">
      <c r="A59" s="56" t="s">
        <v>535</v>
      </c>
      <c r="B59" s="75">
        <v>4515040</v>
      </c>
      <c r="C59" s="76" t="s">
        <v>574</v>
      </c>
      <c r="D59" s="56" t="s">
        <v>525</v>
      </c>
      <c r="E59" s="76" t="s">
        <v>574</v>
      </c>
      <c r="F59" s="59" t="s">
        <v>534</v>
      </c>
      <c r="G59" t="e">
        <f>VLOOKUP(B59,'Director &amp; ED Sep.25'!C:G,4,)</f>
        <v>#N/A</v>
      </c>
    </row>
    <row r="60" spans="1:7" x14ac:dyDescent="0.25">
      <c r="A60" s="56" t="s">
        <v>535</v>
      </c>
      <c r="B60" s="76">
        <v>4515001</v>
      </c>
      <c r="C60" s="76" t="s">
        <v>497</v>
      </c>
      <c r="D60" s="56" t="s">
        <v>525</v>
      </c>
      <c r="E60" s="76" t="s">
        <v>497</v>
      </c>
      <c r="F60" s="59" t="s">
        <v>534</v>
      </c>
      <c r="G60" t="str">
        <f>VLOOKUP(B60,'Director &amp; ED Sep.25'!C:G,4,)</f>
        <v>Tourism</v>
      </c>
    </row>
  </sheetData>
  <autoFilter ref="A13:F60" xr:uid="{20D3FF54-06A8-4CF6-A41D-A17CDCE2EF04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A6CE-1E5C-477E-B054-89B6F81DBE8C}">
  <sheetPr codeName="Sheet6"/>
  <dimension ref="A2:G61"/>
  <sheetViews>
    <sheetView zoomScale="64" zoomScaleNormal="140" workbookViewId="0">
      <selection activeCell="F20" sqref="F20"/>
    </sheetView>
  </sheetViews>
  <sheetFormatPr defaultRowHeight="15" x14ac:dyDescent="0.25"/>
  <cols>
    <col min="1" max="1" width="44.7109375" bestFit="1" customWidth="1"/>
    <col min="2" max="2" width="15.140625" bestFit="1" customWidth="1"/>
    <col min="3" max="3" width="48.28515625" bestFit="1" customWidth="1"/>
    <col min="4" max="4" width="18.5703125" bestFit="1" customWidth="1"/>
    <col min="5" max="5" width="32.5703125" bestFit="1" customWidth="1"/>
    <col min="6" max="6" width="51.140625" style="1" bestFit="1" customWidth="1"/>
    <col min="7" max="7" width="14.85546875" bestFit="1" customWidth="1"/>
    <col min="8" max="8" width="61.5703125" customWidth="1"/>
  </cols>
  <sheetData>
    <row r="2" spans="1:7" ht="23.25" x14ac:dyDescent="0.35">
      <c r="A2" s="54" t="s">
        <v>516</v>
      </c>
      <c r="F2"/>
    </row>
    <row r="3" spans="1:7" x14ac:dyDescent="0.25">
      <c r="F3"/>
    </row>
    <row r="4" spans="1:7" x14ac:dyDescent="0.25">
      <c r="F4"/>
    </row>
    <row r="5" spans="1:7" x14ac:dyDescent="0.25">
      <c r="A5" s="55" t="s">
        <v>517</v>
      </c>
      <c r="B5" s="55" t="s">
        <v>518</v>
      </c>
      <c r="C5" s="55" t="s">
        <v>519</v>
      </c>
      <c r="D5" s="55" t="s">
        <v>520</v>
      </c>
      <c r="E5" s="55" t="s">
        <v>575</v>
      </c>
      <c r="F5" s="55" t="s">
        <v>521</v>
      </c>
      <c r="G5" s="55" t="s">
        <v>522</v>
      </c>
    </row>
    <row r="6" spans="1:7" x14ac:dyDescent="0.25">
      <c r="A6" s="56" t="s">
        <v>512</v>
      </c>
      <c r="B6" s="57" t="s">
        <v>523</v>
      </c>
      <c r="C6" s="56" t="s">
        <v>524</v>
      </c>
      <c r="D6" s="56" t="s">
        <v>525</v>
      </c>
      <c r="E6" s="51" t="s">
        <v>62</v>
      </c>
      <c r="F6" s="106" t="s">
        <v>355</v>
      </c>
      <c r="G6" s="59"/>
    </row>
    <row r="7" spans="1:7" x14ac:dyDescent="0.25">
      <c r="A7" s="56" t="s">
        <v>512</v>
      </c>
      <c r="B7" s="57" t="s">
        <v>523</v>
      </c>
      <c r="C7" s="56" t="s">
        <v>524</v>
      </c>
      <c r="D7" s="56" t="s">
        <v>525</v>
      </c>
      <c r="E7" s="51" t="s">
        <v>121</v>
      </c>
      <c r="F7" s="52" t="s">
        <v>576</v>
      </c>
      <c r="G7" s="59"/>
    </row>
    <row r="8" spans="1:7" x14ac:dyDescent="0.25">
      <c r="A8" s="56" t="s">
        <v>512</v>
      </c>
      <c r="B8" s="57" t="s">
        <v>523</v>
      </c>
      <c r="C8" s="56" t="s">
        <v>524</v>
      </c>
      <c r="D8" s="56" t="s">
        <v>525</v>
      </c>
      <c r="E8" s="51" t="s">
        <v>146</v>
      </c>
      <c r="F8" s="52" t="s">
        <v>411</v>
      </c>
      <c r="G8" s="59"/>
    </row>
    <row r="9" spans="1:7" x14ac:dyDescent="0.25">
      <c r="A9" s="56" t="s">
        <v>512</v>
      </c>
      <c r="B9" s="57" t="s">
        <v>523</v>
      </c>
      <c r="C9" s="56" t="s">
        <v>524</v>
      </c>
      <c r="D9" s="56" t="s">
        <v>525</v>
      </c>
      <c r="E9" s="51" t="s">
        <v>146</v>
      </c>
      <c r="F9" s="52" t="s">
        <v>425</v>
      </c>
      <c r="G9" s="59"/>
    </row>
    <row r="10" spans="1:7" x14ac:dyDescent="0.25">
      <c r="A10" s="56" t="s">
        <v>512</v>
      </c>
      <c r="B10" s="57" t="s">
        <v>523</v>
      </c>
      <c r="C10" s="56" t="s">
        <v>524</v>
      </c>
      <c r="D10" s="56" t="s">
        <v>525</v>
      </c>
      <c r="E10" s="51" t="s">
        <v>146</v>
      </c>
      <c r="F10" s="52" t="s">
        <v>430</v>
      </c>
      <c r="G10" s="59"/>
    </row>
    <row r="11" spans="1:7" x14ac:dyDescent="0.25">
      <c r="A11" s="56" t="s">
        <v>512</v>
      </c>
      <c r="B11" s="57" t="s">
        <v>523</v>
      </c>
      <c r="C11" s="56" t="s">
        <v>524</v>
      </c>
      <c r="D11" s="56" t="s">
        <v>525</v>
      </c>
      <c r="E11" s="107" t="s">
        <v>277</v>
      </c>
      <c r="F11" s="108" t="s">
        <v>300</v>
      </c>
      <c r="G11" s="59"/>
    </row>
    <row r="12" spans="1:7" x14ac:dyDescent="0.25">
      <c r="F12"/>
    </row>
    <row r="13" spans="1:7" x14ac:dyDescent="0.25">
      <c r="A13" s="55" t="s">
        <v>517</v>
      </c>
      <c r="B13" s="55" t="s">
        <v>518</v>
      </c>
      <c r="C13" s="55" t="s">
        <v>519</v>
      </c>
      <c r="D13" s="55" t="s">
        <v>520</v>
      </c>
      <c r="E13" s="55" t="s">
        <v>575</v>
      </c>
      <c r="F13" s="60" t="s">
        <v>521</v>
      </c>
      <c r="G13" s="55" t="s">
        <v>522</v>
      </c>
    </row>
    <row r="14" spans="1:7" x14ac:dyDescent="0.25">
      <c r="A14" s="56" t="s">
        <v>508</v>
      </c>
      <c r="B14" s="63">
        <v>4510195</v>
      </c>
      <c r="C14" s="105" t="str">
        <f>VLOOKUP(B14,'Director &amp; ED Sep.25'!C:S,2,)</f>
        <v>DCT - Arabic Language Central</v>
      </c>
      <c r="D14" s="56"/>
      <c r="E14" s="93">
        <f>VLOOKUP(B14,'Director &amp; ED Sep.25'!C:F,3,)</f>
        <v>4510195</v>
      </c>
      <c r="F14" s="106" t="str">
        <f>VLOOKUP(B14,'Director &amp; ED Sep.25'!C:G,4,)</f>
        <v>Arabic Language Centre</v>
      </c>
      <c r="G14" s="59"/>
    </row>
    <row r="15" spans="1:7" x14ac:dyDescent="0.25">
      <c r="A15" s="56" t="s">
        <v>509</v>
      </c>
      <c r="B15" s="63">
        <v>4519196</v>
      </c>
      <c r="C15" s="105" t="str">
        <f>VLOOKUP(B15,'Director &amp; ED Sep.25'!C:S,2,)</f>
        <v>ALC- Marketing &amp; Communications Department</v>
      </c>
      <c r="D15" s="56"/>
      <c r="E15" s="93">
        <f>VLOOKUP(B15,'Director &amp; ED Sep.25'!C:F,3,)</f>
        <v>4519196</v>
      </c>
      <c r="F15" s="106" t="str">
        <f>VLOOKUP(B15,'Director &amp; ED Sep.25'!C:G,4,)</f>
        <v>Arabic Language Centre</v>
      </c>
      <c r="G15" s="59"/>
    </row>
    <row r="16" spans="1:7" ht="30" x14ac:dyDescent="0.25">
      <c r="A16" s="56" t="s">
        <v>509</v>
      </c>
      <c r="B16" s="63">
        <v>4519197</v>
      </c>
      <c r="C16" s="105" t="str">
        <f>VLOOKUP(B16,'Director &amp; ED Sep.25'!C:S,2,)</f>
        <v>ALC- Arabic Language Education &amp; Research Department</v>
      </c>
      <c r="D16" s="56"/>
      <c r="E16" s="93">
        <f>VLOOKUP(B16,'Director &amp; ED Sep.25'!C:F,3,)</f>
        <v>4519197</v>
      </c>
      <c r="F16" s="106" t="str">
        <f>VLOOKUP(B16,'Director &amp; ED Sep.25'!C:G,4,)</f>
        <v>Arabic Language Centre</v>
      </c>
      <c r="G16" s="59"/>
    </row>
    <row r="17" spans="1:7" x14ac:dyDescent="0.25">
      <c r="A17" s="56" t="s">
        <v>509</v>
      </c>
      <c r="B17" s="63">
        <v>4519199</v>
      </c>
      <c r="C17" s="105" t="str">
        <f>VLOOKUP(B17,'Director &amp; ED Sep.25'!C:S,2,)</f>
        <v>ALC- Creative Content Department</v>
      </c>
      <c r="D17" s="56"/>
      <c r="E17" s="93">
        <f>VLOOKUP(B17,'Director &amp; ED Sep.25'!C:F,3,)</f>
        <v>4519199</v>
      </c>
      <c r="F17" s="106" t="str">
        <f>VLOOKUP(B17,'Director &amp; ED Sep.25'!C:G,4,)</f>
        <v>Arabic Language Centre</v>
      </c>
      <c r="G17" s="59"/>
    </row>
    <row r="18" spans="1:7" x14ac:dyDescent="0.25">
      <c r="A18" s="56" t="s">
        <v>509</v>
      </c>
      <c r="B18" s="63">
        <v>4519200</v>
      </c>
      <c r="C18" s="105" t="str">
        <f>VLOOKUP(B18,'Director &amp; ED Sep.25'!C:S,2,)</f>
        <v>ALC- Bookfairs &amp; Events Department</v>
      </c>
      <c r="D18" s="56"/>
      <c r="E18" s="93">
        <f>VLOOKUP(B18,'Director &amp; ED Sep.25'!C:F,3,)</f>
        <v>4519200</v>
      </c>
      <c r="F18" s="106" t="str">
        <f>VLOOKUP(B18,'Director &amp; ED Sep.25'!C:G,4,)</f>
        <v>Arabic Language Centre</v>
      </c>
      <c r="G18" s="59"/>
    </row>
    <row r="19" spans="1:7" x14ac:dyDescent="0.25">
      <c r="A19" s="56" t="s">
        <v>509</v>
      </c>
      <c r="B19" s="63">
        <v>4519201</v>
      </c>
      <c r="C19" s="105" t="str">
        <f>VLOOKUP(B19,'Director &amp; ED Sep.25'!C:S,2,)</f>
        <v>ALC- Literature Awards Department</v>
      </c>
      <c r="D19" s="56"/>
      <c r="E19" s="93">
        <f>VLOOKUP(B19,'Director &amp; ED Sep.25'!C:F,3,)</f>
        <v>4519201</v>
      </c>
      <c r="F19" s="106" t="str">
        <f>VLOOKUP(B19,'Director &amp; ED Sep.25'!C:G,4,)</f>
        <v>Arabic Language Centre</v>
      </c>
      <c r="G19" s="59"/>
    </row>
    <row r="20" spans="1:7" x14ac:dyDescent="0.25">
      <c r="A20" s="56" t="s">
        <v>509</v>
      </c>
      <c r="B20" s="63">
        <v>4519202</v>
      </c>
      <c r="C20" s="105" t="str">
        <f>VLOOKUP(B20,'Director &amp; ED Sep.25'!C:S,2,)</f>
        <v>ALC- Specialized Library Department</v>
      </c>
      <c r="D20" s="56"/>
      <c r="E20" s="93">
        <f>VLOOKUP(B20,'Director &amp; ED Sep.25'!C:F,3,)</f>
        <v>4519202</v>
      </c>
      <c r="F20" s="106" t="str">
        <f>VLOOKUP(B20,'Director &amp; ED Sep.25'!C:G,4,)</f>
        <v>Arabic Language Centre</v>
      </c>
      <c r="G20" s="59"/>
    </row>
    <row r="21" spans="1:7" x14ac:dyDescent="0.25">
      <c r="A21" s="56" t="s">
        <v>509</v>
      </c>
      <c r="B21" s="63">
        <v>4519203</v>
      </c>
      <c r="C21" s="105" t="str">
        <f>VLOOKUP(B21,'Director &amp; ED Sep.25'!C:S,2,)</f>
        <v>ALC- Strategic Planning Office</v>
      </c>
      <c r="D21" s="56"/>
      <c r="E21" s="93">
        <f>VLOOKUP(B21,'Director &amp; ED Sep.25'!C:F,3,)</f>
        <v>4519203</v>
      </c>
      <c r="F21" s="106" t="str">
        <f>VLOOKUP(B21,'Director &amp; ED Sep.25'!C:G,4,)</f>
        <v>Arabic Language Centre</v>
      </c>
      <c r="G21" s="59"/>
    </row>
    <row r="22" spans="1:7" ht="30" x14ac:dyDescent="0.25">
      <c r="A22" s="56" t="s">
        <v>508</v>
      </c>
      <c r="B22" s="63">
        <v>4518113</v>
      </c>
      <c r="C22" s="105" t="str">
        <f>VLOOKUP(B22,'Director &amp; ED Sep.25'!C:S,2,)</f>
        <v>DCT -  CMA -  Gaming &amp; Digital Development Department</v>
      </c>
      <c r="D22" s="56"/>
      <c r="E22" s="93">
        <f>VLOOKUP(B22,'Director &amp; ED Sep.25'!C:F,3,)</f>
        <v>4518113</v>
      </c>
      <c r="F22" s="106" t="str">
        <f>VLOOKUP(B22,'Director &amp; ED Sep.25'!C:G,4,)</f>
        <v>Strategic Affairs</v>
      </c>
      <c r="G22" s="59"/>
    </row>
    <row r="23" spans="1:7" x14ac:dyDescent="0.25">
      <c r="A23" s="56" t="s">
        <v>509</v>
      </c>
      <c r="B23" s="63">
        <v>4511300</v>
      </c>
      <c r="C23" s="105" t="str">
        <f>VLOOKUP(B23,'Director &amp; ED Sep.25'!C:S,2,)</f>
        <v>DCT - Historical Environment Dept</v>
      </c>
      <c r="D23" s="56"/>
      <c r="E23" s="93">
        <f>VLOOKUP(B23,'Director &amp; ED Sep.25'!C:F,3,)</f>
        <v>4511300</v>
      </c>
      <c r="F23" s="106" t="str">
        <f>VLOOKUP(B23,'Director &amp; ED Sep.25'!C:G,4,)</f>
        <v>Culture</v>
      </c>
      <c r="G23" s="59"/>
    </row>
    <row r="24" spans="1:7" x14ac:dyDescent="0.25">
      <c r="A24" s="56" t="s">
        <v>508</v>
      </c>
      <c r="B24" s="63">
        <v>4511600</v>
      </c>
      <c r="C24" s="105" t="str">
        <f>VLOOKUP(B24,'Director &amp; ED Sep.25'!C:S,2,)</f>
        <v>DCT - Intangible Heritage Dept</v>
      </c>
      <c r="D24" s="56"/>
      <c r="E24" s="93">
        <f>VLOOKUP(B24,'Director &amp; ED Sep.25'!C:F,3,)</f>
        <v>4511600</v>
      </c>
      <c r="F24" s="106" t="str">
        <f>VLOOKUP(B24,'Director &amp; ED Sep.25'!C:G,4,)</f>
        <v>Culture</v>
      </c>
      <c r="G24" s="59"/>
    </row>
    <row r="25" spans="1:7" x14ac:dyDescent="0.25">
      <c r="A25" s="56" t="s">
        <v>508</v>
      </c>
      <c r="B25" s="63">
        <v>4516100</v>
      </c>
      <c r="C25" s="105" t="str">
        <f>VLOOKUP(B25,'Director &amp; ED Sep.25'!C:S,2,)</f>
        <v>DCT - Library Dept</v>
      </c>
      <c r="D25" s="56"/>
      <c r="E25" s="93">
        <f>VLOOKUP(B25,'Director &amp; ED Sep.25'!C:F,3,)</f>
        <v>4516100</v>
      </c>
      <c r="F25" s="106" t="str">
        <f>VLOOKUP(B25,'Director &amp; ED Sep.25'!C:G,4,)</f>
        <v>Culture</v>
      </c>
      <c r="G25" s="59"/>
    </row>
    <row r="26" spans="1:7" x14ac:dyDescent="0.25">
      <c r="A26" s="56" t="s">
        <v>509</v>
      </c>
      <c r="B26" s="63">
        <v>4511010</v>
      </c>
      <c r="C26" s="105" t="str">
        <f>VLOOKUP(B26,'Director &amp; ED Sep.25'!C:S,2,)</f>
        <v>DCT - Culture (Central) Dept</v>
      </c>
      <c r="D26" s="56"/>
      <c r="E26" s="93">
        <f>VLOOKUP(B26,'Director &amp; ED Sep.25'!C:F,3,)</f>
        <v>4511010</v>
      </c>
      <c r="F26" s="106" t="str">
        <f>VLOOKUP(B26,'Director &amp; ED Sep.25'!C:G,4,)</f>
        <v>Culture</v>
      </c>
      <c r="G26" s="59"/>
    </row>
    <row r="27" spans="1:7" x14ac:dyDescent="0.25">
      <c r="A27" s="56" t="s">
        <v>509</v>
      </c>
      <c r="B27" s="63">
        <v>4511011</v>
      </c>
      <c r="C27" s="105" t="str">
        <f>VLOOKUP(B27,'Director &amp; ED Sep.25'!C:S,2,)</f>
        <v>DCT - Abu Dhabi Public Art</v>
      </c>
      <c r="D27" s="56"/>
      <c r="E27" s="93">
        <f>VLOOKUP(B27,'Director &amp; ED Sep.25'!C:F,3,)</f>
        <v>4511011</v>
      </c>
      <c r="F27" s="106">
        <f>VLOOKUP(B27,'Director &amp; ED Sep.25'!C:G,4,)</f>
        <v>0</v>
      </c>
      <c r="G27" s="59"/>
    </row>
    <row r="28" spans="1:7" x14ac:dyDescent="0.25">
      <c r="A28" s="56" t="s">
        <v>508</v>
      </c>
      <c r="B28" s="63">
        <v>4511150</v>
      </c>
      <c r="C28" s="105" t="str">
        <f>VLOOKUP(B28,'Director &amp; ED Sep.25'!C:S,2,)</f>
        <v>DCT - Culture Planning &amp; Development Dept.</v>
      </c>
      <c r="D28" s="56"/>
      <c r="E28" s="93">
        <f>VLOOKUP(B28,'Director &amp; ED Sep.25'!C:F,3,)</f>
        <v>4511150</v>
      </c>
      <c r="F28" s="106" t="s">
        <v>331</v>
      </c>
      <c r="G28" s="59"/>
    </row>
    <row r="29" spans="1:7" x14ac:dyDescent="0.25">
      <c r="A29" s="56" t="s">
        <v>508</v>
      </c>
      <c r="B29" s="63">
        <v>4511250</v>
      </c>
      <c r="C29" s="105" t="str">
        <f>VLOOKUP(B29,'Director &amp; ED Sep.25'!C:S,2,)</f>
        <v>DCT - Cultural Sites Dept</v>
      </c>
      <c r="D29" s="56"/>
      <c r="E29" s="93">
        <f>VLOOKUP(B29,'Director &amp; ED Sep.25'!C:F,3,)</f>
        <v>4511250</v>
      </c>
      <c r="F29" s="106" t="str">
        <f>VLOOKUP(B29,'Director &amp; ED Sep.25'!C:G,4,)</f>
        <v>Culture</v>
      </c>
      <c r="G29" s="59"/>
    </row>
    <row r="30" spans="1:7" x14ac:dyDescent="0.25">
      <c r="A30" s="56" t="s">
        <v>508</v>
      </c>
      <c r="B30" s="63">
        <v>4511550</v>
      </c>
      <c r="C30" s="105" t="str">
        <f>VLOOKUP(B30,'Director &amp; ED Sep.25'!C:S,2,)</f>
        <v>DCT - Marketing &amp; Communication Dept.</v>
      </c>
      <c r="D30" s="56"/>
      <c r="E30" s="93">
        <f>VLOOKUP(B30,'Director &amp; ED Sep.25'!C:F,3,)</f>
        <v>4511550</v>
      </c>
      <c r="F30" s="106" t="str">
        <f>VLOOKUP(B30,'Director &amp; ED Sep.25'!C:G,4,)</f>
        <v>Culture</v>
      </c>
      <c r="G30" s="59"/>
    </row>
    <row r="31" spans="1:7" x14ac:dyDescent="0.25">
      <c r="A31" s="56" t="s">
        <v>508</v>
      </c>
      <c r="B31" s="63">
        <v>4511700</v>
      </c>
      <c r="C31" s="105" t="str">
        <f>VLOOKUP(B31,'Director &amp; ED Sep.25'!C:S,2,)</f>
        <v>DCT - Cultural Programs Dept</v>
      </c>
      <c r="D31" s="56"/>
      <c r="E31" s="93">
        <f>VLOOKUP(B31,'Director &amp; ED Sep.25'!C:F,3,)</f>
        <v>4511700</v>
      </c>
      <c r="F31" s="106" t="str">
        <f>VLOOKUP(B31,'Director &amp; ED Sep.25'!C:G,4,)</f>
        <v>Culture</v>
      </c>
      <c r="G31" s="59"/>
    </row>
    <row r="32" spans="1:7" x14ac:dyDescent="0.25">
      <c r="A32" s="56" t="s">
        <v>509</v>
      </c>
      <c r="B32" s="63">
        <v>4511750</v>
      </c>
      <c r="C32" s="105" t="str">
        <f>VLOOKUP(B32,'Director &amp; ED Sep.25'!C:S,2,)</f>
        <v>DCT – Culture Festivals &amp; Platforms Dept</v>
      </c>
      <c r="D32" s="56"/>
      <c r="E32" s="93">
        <f>VLOOKUP(B32,'Director &amp; ED Sep.25'!C:F,3,)</f>
        <v>4511750</v>
      </c>
      <c r="F32" s="106" t="str">
        <f>VLOOKUP(B32,'Director &amp; ED Sep.25'!C:G,4,)</f>
        <v>Culture</v>
      </c>
      <c r="G32" s="59"/>
    </row>
    <row r="33" spans="1:7" x14ac:dyDescent="0.25">
      <c r="A33" s="56" t="s">
        <v>509</v>
      </c>
      <c r="B33" s="63">
        <v>4511800</v>
      </c>
      <c r="C33" s="105" t="str">
        <f>VLOOKUP(B33,'Director &amp; ED Sep.25'!C:S,2,)</f>
        <v>DCT - Education &amp; Outreach Dept</v>
      </c>
      <c r="D33" s="56"/>
      <c r="E33" s="93">
        <f>VLOOKUP(B33,'Director &amp; ED Sep.25'!C:F,3,)</f>
        <v>4511800</v>
      </c>
      <c r="F33" s="106" t="str">
        <f>VLOOKUP(B33,'Director &amp; ED Sep.25'!C:G,4,)</f>
        <v>Culture</v>
      </c>
      <c r="G33" s="59"/>
    </row>
    <row r="34" spans="1:7" x14ac:dyDescent="0.25">
      <c r="A34" s="56" t="s">
        <v>508</v>
      </c>
      <c r="B34" s="63">
        <v>4510110</v>
      </c>
      <c r="C34" s="105" t="str">
        <f>VLOOKUP(B34,'Director &amp; ED Sep.25'!C:S,2,)</f>
        <v>DCT - Executive Mngt Office</v>
      </c>
      <c r="D34" s="56"/>
      <c r="E34" s="93">
        <f>VLOOKUP(B34,'Director &amp; ED Sep.25'!C:F,3,)</f>
        <v>4510110</v>
      </c>
      <c r="F34" s="106" t="str">
        <f>VLOOKUP(B34,'Director &amp; ED Sep.25'!C:G,4,)</f>
        <v xml:space="preserve">Executive Office </v>
      </c>
      <c r="G34" s="59"/>
    </row>
    <row r="35" spans="1:7" x14ac:dyDescent="0.25">
      <c r="A35" s="56" t="s">
        <v>508</v>
      </c>
      <c r="B35" s="63">
        <v>4510140</v>
      </c>
      <c r="C35" s="105" t="str">
        <f>VLOOKUP(B35,'Director &amp; ED Sep.25'!C:S,2,)</f>
        <v>DCT - Internal Audit Dept</v>
      </c>
      <c r="D35" s="56"/>
      <c r="E35" s="93">
        <f>VLOOKUP(B35,'Director &amp; ED Sep.25'!C:F,3,)</f>
        <v>4510140</v>
      </c>
      <c r="F35" s="106" t="str">
        <f>VLOOKUP(B35,'Director &amp; ED Sep.25'!C:G,4,)</f>
        <v xml:space="preserve">Executive Office </v>
      </c>
      <c r="G35" s="59"/>
    </row>
    <row r="36" spans="1:7" x14ac:dyDescent="0.25">
      <c r="A36" s="56" t="s">
        <v>509</v>
      </c>
      <c r="B36" s="63">
        <v>4510150</v>
      </c>
      <c r="C36" s="105" t="str">
        <f>VLOOKUP(B36,'Director &amp; ED Sep.25'!C:S,2,)</f>
        <v>DCT - Projects Management &amp; Engineering Dept</v>
      </c>
      <c r="D36" s="56"/>
      <c r="E36" s="93">
        <f>VLOOKUP(B36,'Director &amp; ED Sep.25'!C:F,3,)</f>
        <v>4510150</v>
      </c>
      <c r="F36" s="106" t="str">
        <f>VLOOKUP(B36,'Director &amp; ED Sep.25'!C:G,4,)</f>
        <v xml:space="preserve">Executive Office </v>
      </c>
      <c r="G36" s="59"/>
    </row>
    <row r="37" spans="1:7" x14ac:dyDescent="0.25">
      <c r="A37" s="56" t="s">
        <v>509</v>
      </c>
      <c r="B37" s="63">
        <v>4510155</v>
      </c>
      <c r="C37" s="105" t="str">
        <f>VLOOKUP(B37,'Director &amp; ED Sep.25'!C:S,2,)</f>
        <v>DCT – Tendering &amp; Projects Control Dept.</v>
      </c>
      <c r="D37" s="56"/>
      <c r="E37" s="93">
        <f>VLOOKUP(B37,'Director &amp; ED Sep.25'!C:F,3,)</f>
        <v>4510155</v>
      </c>
      <c r="F37" s="106" t="str">
        <f>VLOOKUP(B37,'Director &amp; ED Sep.25'!C:G,4,)</f>
        <v xml:space="preserve">Executive Office </v>
      </c>
      <c r="G37" s="59"/>
    </row>
    <row r="38" spans="1:7" x14ac:dyDescent="0.25">
      <c r="A38" s="56" t="s">
        <v>509</v>
      </c>
      <c r="B38" s="63">
        <v>4510160</v>
      </c>
      <c r="C38" s="105" t="str">
        <f>VLOOKUP(B38,'Director &amp; ED Sep.25'!C:S,2,)</f>
        <v>DCT - Legal &amp; Government Affairs Dept</v>
      </c>
      <c r="D38" s="56"/>
      <c r="E38" s="93">
        <f>VLOOKUP(B38,'Director &amp; ED Sep.25'!C:F,3,)</f>
        <v>4510160</v>
      </c>
      <c r="F38" s="106" t="str">
        <f>VLOOKUP(B38,'Director &amp; ED Sep.25'!C:G,4,)</f>
        <v xml:space="preserve">Executive Office </v>
      </c>
      <c r="G38" s="59"/>
    </row>
    <row r="39" spans="1:7" x14ac:dyDescent="0.25">
      <c r="A39" s="56" t="s">
        <v>509</v>
      </c>
      <c r="B39" s="63">
        <v>4510011</v>
      </c>
      <c r="C39" s="105" t="str">
        <f>VLOOKUP(B39,'Director &amp; ED Sep.25'!C:S,2,)</f>
        <v>DCT - Executive Affairs Department</v>
      </c>
      <c r="D39" s="56"/>
      <c r="E39" s="93">
        <f>VLOOKUP(B39,'Director &amp; ED Sep.25'!C:F,3,)</f>
        <v>4510011</v>
      </c>
      <c r="F39" s="106" t="str">
        <f>VLOOKUP(B39,'Director &amp; ED Sep.25'!C:G,4,)</f>
        <v xml:space="preserve">Executive Office </v>
      </c>
      <c r="G39" s="59"/>
    </row>
    <row r="40" spans="1:7" x14ac:dyDescent="0.25">
      <c r="A40" s="56" t="s">
        <v>509</v>
      </c>
      <c r="B40" s="63">
        <v>4512010</v>
      </c>
      <c r="C40" s="105" t="str">
        <f>VLOOKUP(B40,'Director &amp; ED Sep.25'!C:S,2,)</f>
        <v>DCT - Strategy Affairs (Central) DEPT.</v>
      </c>
      <c r="D40" s="56"/>
      <c r="E40" s="93">
        <f>VLOOKUP(B40,'Director &amp; ED Sep.25'!C:F,3,)</f>
        <v>4512010</v>
      </c>
      <c r="F40" s="106" t="str">
        <f>VLOOKUP(B40,'Director &amp; ED Sep.25'!C:G,4,)</f>
        <v>Strategic Affairs</v>
      </c>
      <c r="G40" s="59"/>
    </row>
    <row r="41" spans="1:7" x14ac:dyDescent="0.25">
      <c r="A41" s="56" t="s">
        <v>509</v>
      </c>
      <c r="B41" s="63">
        <v>4512100</v>
      </c>
      <c r="C41" s="105" t="str">
        <f>VLOOKUP(B41,'Director &amp; ED Sep.25'!C:S,2,)</f>
        <v>DCT - Strategy Planning Dept</v>
      </c>
      <c r="D41" s="56"/>
      <c r="E41" s="93">
        <f>VLOOKUP(B41,'Director &amp; ED Sep.25'!C:F,3,)</f>
        <v>4512100</v>
      </c>
      <c r="F41" s="106" t="str">
        <f>VLOOKUP(B41,'Director &amp; ED Sep.25'!C:G,4,)</f>
        <v>Strategic Affairs</v>
      </c>
      <c r="G41" s="59"/>
    </row>
    <row r="42" spans="1:7" x14ac:dyDescent="0.25">
      <c r="A42" s="56" t="s">
        <v>508</v>
      </c>
      <c r="B42" s="63">
        <v>4512200</v>
      </c>
      <c r="C42" s="105" t="str">
        <f>VLOOKUP(B42,'Director &amp; ED Sep.25'!C:S,2,)</f>
        <v>DCT - Business Intelligence Dept</v>
      </c>
      <c r="D42" s="56"/>
      <c r="E42" s="93">
        <f>VLOOKUP(B42,'Director &amp; ED Sep.25'!C:F,3,)</f>
        <v>4512200</v>
      </c>
      <c r="F42" s="106" t="str">
        <f>VLOOKUP(B42,'Director &amp; ED Sep.25'!C:G,4,)</f>
        <v>Strategic Affairs</v>
      </c>
      <c r="G42" s="59"/>
    </row>
    <row r="43" spans="1:7" x14ac:dyDescent="0.25">
      <c r="A43" s="56" t="s">
        <v>508</v>
      </c>
      <c r="B43" s="63">
        <v>4512300</v>
      </c>
      <c r="C43" s="105" t="str">
        <f>VLOOKUP(B43,'Director &amp; ED Sep.25'!C:S,2,)</f>
        <v>DCT - Business Continuity Dept</v>
      </c>
      <c r="D43" s="56"/>
      <c r="E43" s="93">
        <f>VLOOKUP(B43,'Director &amp; ED Sep.25'!C:F,3,)</f>
        <v>4512300</v>
      </c>
      <c r="F43" s="106" t="str">
        <f>VLOOKUP(B43,'Director &amp; ED Sep.25'!C:G,4,)</f>
        <v>Strategic Affairs</v>
      </c>
      <c r="G43" s="59"/>
    </row>
    <row r="44" spans="1:7" x14ac:dyDescent="0.25">
      <c r="A44" s="56" t="s">
        <v>509</v>
      </c>
      <c r="B44" s="63">
        <v>4513110</v>
      </c>
      <c r="C44" s="105" t="str">
        <f>VLOOKUP(B44,'Director &amp; ED Sep.25'!C:S,2,)</f>
        <v>DCT - Creative and Production Department</v>
      </c>
      <c r="D44" s="56"/>
      <c r="E44" s="93">
        <f>VLOOKUP(B44,'Director &amp; ED Sep.25'!C:F,3,)</f>
        <v>4513110</v>
      </c>
      <c r="F44" s="106" t="str">
        <f>VLOOKUP(B44,'Director &amp; ED Sep.25'!C:G,4,)</f>
        <v>Strategic Marketing &amp; Communication</v>
      </c>
      <c r="G44" s="59"/>
    </row>
    <row r="45" spans="1:7" x14ac:dyDescent="0.25">
      <c r="A45" s="56" t="s">
        <v>509</v>
      </c>
      <c r="B45" s="63">
        <v>4513120</v>
      </c>
      <c r="C45" s="105" t="str">
        <f>VLOOKUP(B45,'Director &amp; ED Sep.25'!C:S,2,)</f>
        <v>DCT - Strategic Communications Department</v>
      </c>
      <c r="D45" s="56"/>
      <c r="E45" s="93">
        <f>VLOOKUP(B45,'Director &amp; ED Sep.25'!C:F,3,)</f>
        <v>4513120</v>
      </c>
      <c r="F45" s="106" t="str">
        <f>VLOOKUP(B45,'Director &amp; ED Sep.25'!C:G,4,)</f>
        <v>Strategic Marketing &amp; Communication</v>
      </c>
      <c r="G45" s="59"/>
    </row>
    <row r="46" spans="1:7" x14ac:dyDescent="0.25">
      <c r="A46" s="56" t="s">
        <v>509</v>
      </c>
      <c r="B46" s="63">
        <v>4513130</v>
      </c>
      <c r="C46" s="105" t="str">
        <f>VLOOKUP(B46,'Director &amp; ED Sep.25'!C:S,2,)</f>
        <v>DCT - Planning, Strategy &amp; Operations Department</v>
      </c>
      <c r="D46" s="56"/>
      <c r="E46" s="93">
        <f>VLOOKUP(B46,'Director &amp; ED Sep.25'!C:F,3,)</f>
        <v>4513130</v>
      </c>
      <c r="F46" s="106" t="str">
        <f>VLOOKUP(B46,'Director &amp; ED Sep.25'!C:G,4,)</f>
        <v>Strategic Marketing &amp; Communication</v>
      </c>
      <c r="G46" s="59"/>
    </row>
    <row r="47" spans="1:7" x14ac:dyDescent="0.25">
      <c r="A47" s="56" t="s">
        <v>509</v>
      </c>
      <c r="B47" s="63">
        <v>4513140</v>
      </c>
      <c r="C47" s="105" t="str">
        <f>VLOOKUP(B47,'Director &amp; ED Sep.25'!C:S,2,)</f>
        <v>DCT - Sector Marketing Department</v>
      </c>
      <c r="D47" s="56"/>
      <c r="E47" s="93">
        <f>VLOOKUP(B47,'Director &amp; ED Sep.25'!C:F,3,)</f>
        <v>4513140</v>
      </c>
      <c r="F47" s="106" t="str">
        <f>VLOOKUP(B47,'Director &amp; ED Sep.25'!C:G,4,)</f>
        <v>Strategic Marketing &amp; Communication</v>
      </c>
      <c r="G47" s="59"/>
    </row>
    <row r="48" spans="1:7" x14ac:dyDescent="0.25">
      <c r="A48" s="56" t="s">
        <v>509</v>
      </c>
      <c r="B48" s="63">
        <v>4510201</v>
      </c>
      <c r="C48" s="105" t="str">
        <f>VLOOKUP(B48,'Director &amp; ED Sep.25'!C:S,2,)</f>
        <v>DCT - Support Services (Central) Dept</v>
      </c>
      <c r="D48" s="56"/>
      <c r="E48" s="93">
        <f>VLOOKUP(B48,'Director &amp; ED Sep.25'!C:F,3,)</f>
        <v>4510201</v>
      </c>
      <c r="F48" s="106" t="str">
        <f>VLOOKUP(B48,'Director &amp; ED Sep.25'!C:G,4,)</f>
        <v>Support Services</v>
      </c>
      <c r="G48" s="59"/>
    </row>
    <row r="49" spans="1:7" x14ac:dyDescent="0.25">
      <c r="A49" s="56" t="s">
        <v>509</v>
      </c>
      <c r="B49" s="63">
        <v>4510210</v>
      </c>
      <c r="C49" s="105" t="str">
        <f>VLOOKUP(B49,'Director &amp; ED Sep.25'!C:S,2,)</f>
        <v>DCT - Finance Dept</v>
      </c>
      <c r="D49" s="56"/>
      <c r="E49" s="93">
        <f>VLOOKUP(B49,'Director &amp; ED Sep.25'!C:F,3,)</f>
        <v>4510210</v>
      </c>
      <c r="F49" s="106" t="str">
        <f>VLOOKUP(B49,'Director &amp; ED Sep.25'!C:G,4,)</f>
        <v>Support Services</v>
      </c>
      <c r="G49" s="59"/>
    </row>
    <row r="50" spans="1:7" x14ac:dyDescent="0.25">
      <c r="A50" s="56" t="s">
        <v>509</v>
      </c>
      <c r="B50" s="63">
        <v>4510220</v>
      </c>
      <c r="C50" s="105" t="str">
        <f>VLOOKUP(B50,'Director &amp; ED Sep.25'!C:S,2,)</f>
        <v>DCT - People &amp; Performance Dept</v>
      </c>
      <c r="D50" s="56"/>
      <c r="E50" s="93">
        <f>VLOOKUP(B50,'Director &amp; ED Sep.25'!C:F,3,)</f>
        <v>4510220</v>
      </c>
      <c r="F50" s="106" t="str">
        <f>VLOOKUP(B50,'Director &amp; ED Sep.25'!C:G,4,)</f>
        <v>Support Services</v>
      </c>
      <c r="G50" s="59"/>
    </row>
    <row r="51" spans="1:7" x14ac:dyDescent="0.25">
      <c r="A51" s="56" t="s">
        <v>509</v>
      </c>
      <c r="B51" s="63">
        <v>4510240</v>
      </c>
      <c r="C51" s="105" t="str">
        <f>VLOOKUP(B51,'Director &amp; ED Sep.25'!C:S,2,)</f>
        <v>DCT - Supply Management Dept</v>
      </c>
      <c r="D51" s="56"/>
      <c r="E51" s="93">
        <f>VLOOKUP(B51,'Director &amp; ED Sep.25'!C:F,3,)</f>
        <v>4510240</v>
      </c>
      <c r="F51" s="106" t="str">
        <f>VLOOKUP(B51,'Director &amp; ED Sep.25'!C:G,4,)</f>
        <v>Support Services</v>
      </c>
      <c r="G51" s="59"/>
    </row>
    <row r="52" spans="1:7" x14ac:dyDescent="0.25">
      <c r="A52" s="56" t="s">
        <v>508</v>
      </c>
      <c r="B52" s="63">
        <v>4510250</v>
      </c>
      <c r="C52" s="105" t="str">
        <f>VLOOKUP(B52,'Director &amp; ED Sep.25'!C:S,2,)</f>
        <v>DCT - Smart Systems &amp; GovernmentServices Dept</v>
      </c>
      <c r="D52" s="56"/>
      <c r="E52" s="93">
        <f>VLOOKUP(B52,'Director &amp; ED Sep.25'!C:F,3,)</f>
        <v>4510250</v>
      </c>
      <c r="F52" s="106" t="str">
        <f>VLOOKUP(B52,'Director &amp; ED Sep.25'!C:G,4,)</f>
        <v>Support Services</v>
      </c>
      <c r="G52" s="59"/>
    </row>
    <row r="53" spans="1:7" x14ac:dyDescent="0.25">
      <c r="A53" s="56" t="s">
        <v>509</v>
      </c>
      <c r="B53" s="63">
        <v>4510170</v>
      </c>
      <c r="C53" s="105" t="str">
        <f>VLOOKUP(B53,'Director &amp; ED Sep.25'!C:S,2,)</f>
        <v>DCT-Licensing &amp; Regulatory Compliance Department</v>
      </c>
      <c r="D53" s="56"/>
      <c r="E53" s="93">
        <f>VLOOKUP(B53,'Director &amp; ED Sep.25'!C:F,3,)</f>
        <v>4510170</v>
      </c>
      <c r="F53" s="106" t="str">
        <f>VLOOKUP(B53,'Director &amp; ED Sep.25'!C:G,4,)</f>
        <v>Support Services</v>
      </c>
      <c r="G53" s="59"/>
    </row>
    <row r="54" spans="1:7" x14ac:dyDescent="0.25">
      <c r="A54" s="56" t="s">
        <v>509</v>
      </c>
      <c r="B54" s="63">
        <v>4515300</v>
      </c>
      <c r="C54" s="105" t="str">
        <f>VLOOKUP(B54,'Director &amp; ED Sep.25'!C:S,2,)</f>
        <v>DCT - Visitor Experience Department</v>
      </c>
      <c r="D54" s="56"/>
      <c r="E54" s="93">
        <f>VLOOKUP(B54,'Director &amp; ED Sep.25'!C:F,3,)</f>
        <v>4515300</v>
      </c>
      <c r="F54" s="106" t="str">
        <f>VLOOKUP(B54,'Director &amp; ED Sep.25'!C:G,4,)</f>
        <v>Tourism</v>
      </c>
      <c r="G54" s="59"/>
    </row>
    <row r="55" spans="1:7" x14ac:dyDescent="0.25">
      <c r="A55" s="56" t="s">
        <v>509</v>
      </c>
      <c r="B55" s="63">
        <v>4515400</v>
      </c>
      <c r="C55" s="105" t="str">
        <f>VLOOKUP(B55,'Director &amp; ED Sep.25'!C:S,2,)</f>
        <v>DCT - Abu Dhabi Conventions &amp; Exhibition Bureau</v>
      </c>
      <c r="D55" s="56"/>
      <c r="E55" s="93">
        <f>VLOOKUP(B55,'Director &amp; ED Sep.25'!C:F,3,)</f>
        <v>4515400</v>
      </c>
      <c r="F55" s="106" t="str">
        <f>VLOOKUP(B55,'Director &amp; ED Sep.25'!C:G,4,)</f>
        <v>Tourism</v>
      </c>
      <c r="G55" s="59"/>
    </row>
    <row r="56" spans="1:7" x14ac:dyDescent="0.25">
      <c r="A56" s="56" t="s">
        <v>509</v>
      </c>
      <c r="B56" s="63">
        <v>4515500</v>
      </c>
      <c r="C56" s="105" t="str">
        <f>VLOOKUP(B56,'Director &amp; ED Sep.25'!C:S,2,)</f>
        <v>DCT - Abu Dhabi Events Bureau</v>
      </c>
      <c r="D56" s="56"/>
      <c r="E56" s="93">
        <f>VLOOKUP(B56,'Director &amp; ED Sep.25'!C:F,3,)</f>
        <v>4515500</v>
      </c>
      <c r="F56" s="106" t="str">
        <f>VLOOKUP(B56,'Director &amp; ED Sep.25'!C:G,4,)</f>
        <v>Tourism</v>
      </c>
      <c r="G56" s="59"/>
    </row>
    <row r="57" spans="1:7" x14ac:dyDescent="0.25">
      <c r="A57" s="56" t="s">
        <v>509</v>
      </c>
      <c r="B57" s="63">
        <v>4515700</v>
      </c>
      <c r="C57" s="105" t="str">
        <f>VLOOKUP(B57,'Director &amp; ED Sep.25'!C:S,2,)</f>
        <v>DCT-Destination Management Department</v>
      </c>
      <c r="D57" s="56"/>
      <c r="E57" s="93">
        <f>VLOOKUP(B57,'Director &amp; ED Sep.25'!C:F,3,)</f>
        <v>4515700</v>
      </c>
      <c r="F57" s="106" t="str">
        <f>VLOOKUP(B57,'Director &amp; ED Sep.25'!C:G,4,)</f>
        <v>Tourism</v>
      </c>
      <c r="G57" s="59"/>
    </row>
    <row r="58" spans="1:7" x14ac:dyDescent="0.25">
      <c r="A58" s="56" t="s">
        <v>508</v>
      </c>
      <c r="B58" s="63">
        <v>4515010</v>
      </c>
      <c r="C58" s="105" t="str">
        <f>VLOOKUP(B58,'Director &amp; ED Sep.25'!C:S,2,)</f>
        <v>DCT - Tourism (Central) Dept</v>
      </c>
      <c r="D58" s="56"/>
      <c r="E58" s="93">
        <f>VLOOKUP(B58,'Director &amp; ED Sep.25'!C:F,3,)</f>
        <v>4515010</v>
      </c>
      <c r="F58" s="106" t="str">
        <f>VLOOKUP(B58,'Director &amp; ED Sep.25'!C:G,4,)</f>
        <v>Tourism</v>
      </c>
      <c r="G58" s="59"/>
    </row>
    <row r="59" spans="1:7" x14ac:dyDescent="0.25">
      <c r="A59" s="56" t="s">
        <v>509</v>
      </c>
      <c r="B59" s="63">
        <v>4515100</v>
      </c>
      <c r="C59" s="105" t="str">
        <f>VLOOKUP(B59,'Director &amp; ED Sep.25'!C:S,2,)</f>
        <v>DCT-International Operations Department</v>
      </c>
      <c r="D59" s="56"/>
      <c r="E59" s="93">
        <f>VLOOKUP(B59,'Director &amp; ED Sep.25'!C:F,3,)</f>
        <v>4515100</v>
      </c>
      <c r="F59" s="106" t="str">
        <f>VLOOKUP(B59,'Director &amp; ED Sep.25'!C:G,4,)</f>
        <v>Tourism</v>
      </c>
      <c r="G59" s="59"/>
    </row>
    <row r="60" spans="1:7" x14ac:dyDescent="0.25">
      <c r="A60" s="56" t="s">
        <v>509</v>
      </c>
      <c r="B60" s="83">
        <v>4515001</v>
      </c>
      <c r="C60" s="105" t="str">
        <f>VLOOKUP(B60,'Director &amp; ED Sep.25'!C:S,2,)</f>
        <v>DCT- DG Office Tourism</v>
      </c>
      <c r="D60" s="56"/>
      <c r="E60" s="93">
        <f>VLOOKUP(B60,'Director &amp; ED Sep.25'!C:F,3,)</f>
        <v>4515001</v>
      </c>
      <c r="F60" s="106" t="str">
        <f>VLOOKUP(B60,'Director &amp; ED Sep.25'!C:G,4,)</f>
        <v>Tourism</v>
      </c>
    </row>
    <row r="61" spans="1:7" x14ac:dyDescent="0.25">
      <c r="A61" s="56" t="s">
        <v>509</v>
      </c>
      <c r="B61" s="63">
        <v>4515900</v>
      </c>
      <c r="C61" s="105" t="str">
        <f>VLOOKUP(B61,'Director &amp; ED Sep.25'!C:S,2,)</f>
        <v>DCT - Tourism Products Development Department</v>
      </c>
      <c r="D61" s="56"/>
      <c r="E61" s="93">
        <f>VLOOKUP(B61,'Director &amp; ED Sep.25'!C:F,3,)</f>
        <v>4515900</v>
      </c>
      <c r="F61" s="106" t="str">
        <f>VLOOKUP(B61,'Director &amp; ED Sep.25'!C:G,4,)</f>
        <v>Tourism</v>
      </c>
      <c r="G61" s="59"/>
    </row>
  </sheetData>
  <autoFilter ref="A13:G61" xr:uid="{BD9AA6CE-1E5C-477E-B054-89B6F81DBE8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6544-49F1-4062-9C3D-C89A98151F9E}">
  <sheetPr codeName="Sheet7"/>
  <dimension ref="C3:L25"/>
  <sheetViews>
    <sheetView workbookViewId="0">
      <selection activeCell="C3" sqref="C3:I25"/>
    </sheetView>
  </sheetViews>
  <sheetFormatPr defaultColWidth="8.85546875" defaultRowHeight="15" x14ac:dyDescent="0.25"/>
  <cols>
    <col min="1" max="2" width="8.85546875" style="111"/>
    <col min="3" max="3" width="20.42578125" bestFit="1" customWidth="1"/>
    <col min="4" max="4" width="10.7109375" bestFit="1" customWidth="1"/>
    <col min="5" max="5" width="46.28515625" bestFit="1" customWidth="1"/>
    <col min="6" max="6" width="14.140625" bestFit="1" customWidth="1"/>
    <col min="7" max="7" width="22" bestFit="1" customWidth="1"/>
    <col min="8" max="8" width="49.42578125" bestFit="1" customWidth="1"/>
    <col min="9" max="9" width="10.42578125" bestFit="1" customWidth="1"/>
    <col min="13" max="16384" width="8.85546875" style="111"/>
  </cols>
  <sheetData>
    <row r="3" spans="3:9" x14ac:dyDescent="0.25">
      <c r="C3" s="55" t="s">
        <v>517</v>
      </c>
      <c r="D3" s="55" t="s">
        <v>518</v>
      </c>
      <c r="E3" s="55" t="s">
        <v>519</v>
      </c>
      <c r="F3" s="55" t="s">
        <v>520</v>
      </c>
      <c r="G3" s="55" t="s">
        <v>575</v>
      </c>
      <c r="H3" s="55" t="s">
        <v>521</v>
      </c>
      <c r="I3" s="55" t="s">
        <v>522</v>
      </c>
    </row>
    <row r="4" spans="3:9" x14ac:dyDescent="0.25">
      <c r="C4" s="56" t="s">
        <v>512</v>
      </c>
      <c r="D4" s="57" t="s">
        <v>523</v>
      </c>
      <c r="E4" s="56" t="s">
        <v>524</v>
      </c>
      <c r="F4" s="56" t="s">
        <v>525</v>
      </c>
      <c r="G4" s="51" t="s">
        <v>62</v>
      </c>
      <c r="H4" s="52" t="s">
        <v>331</v>
      </c>
      <c r="I4" s="59"/>
    </row>
    <row r="5" spans="3:9" x14ac:dyDescent="0.25">
      <c r="C5" s="56" t="s">
        <v>512</v>
      </c>
      <c r="D5" s="57" t="s">
        <v>523</v>
      </c>
      <c r="E5" s="56" t="s">
        <v>524</v>
      </c>
      <c r="F5" s="56" t="s">
        <v>525</v>
      </c>
      <c r="G5" s="51" t="s">
        <v>121</v>
      </c>
      <c r="H5" s="52" t="s">
        <v>576</v>
      </c>
      <c r="I5" s="59"/>
    </row>
    <row r="6" spans="3:9" x14ac:dyDescent="0.25">
      <c r="C6" s="56" t="s">
        <v>512</v>
      </c>
      <c r="D6" s="57" t="s">
        <v>523</v>
      </c>
      <c r="E6" s="56" t="s">
        <v>524</v>
      </c>
      <c r="F6" s="56" t="s">
        <v>525</v>
      </c>
      <c r="G6" s="51" t="s">
        <v>146</v>
      </c>
      <c r="H6" s="52" t="s">
        <v>411</v>
      </c>
      <c r="I6" s="59"/>
    </row>
    <row r="7" spans="3:9" x14ac:dyDescent="0.25">
      <c r="C7" s="56" t="s">
        <v>512</v>
      </c>
      <c r="D7" s="57" t="s">
        <v>523</v>
      </c>
      <c r="E7" s="56" t="s">
        <v>524</v>
      </c>
      <c r="F7" s="56" t="s">
        <v>525</v>
      </c>
      <c r="G7" s="51" t="s">
        <v>146</v>
      </c>
      <c r="H7" s="52" t="s">
        <v>425</v>
      </c>
      <c r="I7" s="59"/>
    </row>
    <row r="8" spans="3:9" x14ac:dyDescent="0.25">
      <c r="C8" s="56" t="s">
        <v>512</v>
      </c>
      <c r="D8" s="57" t="s">
        <v>523</v>
      </c>
      <c r="E8" s="56" t="s">
        <v>524</v>
      </c>
      <c r="F8" s="56" t="s">
        <v>525</v>
      </c>
      <c r="G8" s="51" t="s">
        <v>146</v>
      </c>
      <c r="H8" s="52" t="s">
        <v>430</v>
      </c>
      <c r="I8" s="59"/>
    </row>
    <row r="9" spans="3:9" x14ac:dyDescent="0.25">
      <c r="C9" s="56" t="s">
        <v>512</v>
      </c>
      <c r="D9" s="57" t="s">
        <v>523</v>
      </c>
      <c r="E9" s="56" t="s">
        <v>524</v>
      </c>
      <c r="F9" s="56" t="s">
        <v>525</v>
      </c>
      <c r="G9" s="107" t="s">
        <v>277</v>
      </c>
      <c r="H9" s="112" t="s">
        <v>300</v>
      </c>
      <c r="I9" s="59"/>
    </row>
    <row r="11" spans="3:9" x14ac:dyDescent="0.25">
      <c r="C11" s="55" t="s">
        <v>517</v>
      </c>
      <c r="D11" s="55" t="s">
        <v>518</v>
      </c>
      <c r="E11" s="55" t="s">
        <v>519</v>
      </c>
      <c r="F11" s="55" t="s">
        <v>520</v>
      </c>
      <c r="G11" s="55" t="s">
        <v>575</v>
      </c>
      <c r="H11" s="60" t="s">
        <v>521</v>
      </c>
      <c r="I11" s="55" t="s">
        <v>522</v>
      </c>
    </row>
    <row r="12" spans="3:9" x14ac:dyDescent="0.25">
      <c r="C12" s="56" t="s">
        <v>508</v>
      </c>
      <c r="D12" s="63">
        <v>4510195</v>
      </c>
      <c r="E12" s="113" t="s">
        <v>18</v>
      </c>
      <c r="F12" s="56"/>
      <c r="G12" s="93" t="s">
        <v>277</v>
      </c>
      <c r="H12" s="106" t="s">
        <v>278</v>
      </c>
      <c r="I12" s="59"/>
    </row>
    <row r="13" spans="3:9" x14ac:dyDescent="0.25">
      <c r="C13" s="56" t="s">
        <v>508</v>
      </c>
      <c r="D13" s="63">
        <v>4518113</v>
      </c>
      <c r="E13" s="113" t="s">
        <v>417</v>
      </c>
      <c r="F13" s="56"/>
      <c r="G13" s="93" t="s">
        <v>146</v>
      </c>
      <c r="H13" s="106" t="s">
        <v>418</v>
      </c>
      <c r="I13" s="59"/>
    </row>
    <row r="14" spans="3:9" x14ac:dyDescent="0.25">
      <c r="C14" s="56" t="s">
        <v>508</v>
      </c>
      <c r="D14" s="63">
        <v>4511600</v>
      </c>
      <c r="E14" s="113" t="s">
        <v>71</v>
      </c>
      <c r="F14" s="56"/>
      <c r="G14" s="93" t="s">
        <v>62</v>
      </c>
      <c r="H14" s="106" t="s">
        <v>312</v>
      </c>
      <c r="I14" s="59"/>
    </row>
    <row r="15" spans="3:9" x14ac:dyDescent="0.25">
      <c r="C15" s="56" t="s">
        <v>508</v>
      </c>
      <c r="D15" s="63">
        <v>4516100</v>
      </c>
      <c r="E15" s="113" t="s">
        <v>316</v>
      </c>
      <c r="F15" s="56"/>
      <c r="G15" s="93" t="s">
        <v>62</v>
      </c>
      <c r="H15" s="106" t="s">
        <v>317</v>
      </c>
      <c r="I15" s="59"/>
    </row>
    <row r="16" spans="3:9" x14ac:dyDescent="0.25">
      <c r="C16" s="56" t="s">
        <v>508</v>
      </c>
      <c r="D16" s="63">
        <v>4511150</v>
      </c>
      <c r="E16" s="113" t="s">
        <v>92</v>
      </c>
      <c r="F16" s="56"/>
      <c r="G16" s="93" t="s">
        <v>62</v>
      </c>
      <c r="H16" s="106" t="s">
        <v>355</v>
      </c>
      <c r="I16" s="59"/>
    </row>
    <row r="17" spans="3:9" x14ac:dyDescent="0.25">
      <c r="C17" s="56" t="s">
        <v>508</v>
      </c>
      <c r="D17" s="63">
        <v>4511250</v>
      </c>
      <c r="E17" s="113" t="s">
        <v>100</v>
      </c>
      <c r="F17" s="56"/>
      <c r="G17" s="93" t="s">
        <v>62</v>
      </c>
      <c r="H17" s="106" t="s">
        <v>332</v>
      </c>
      <c r="I17" s="59"/>
    </row>
    <row r="18" spans="3:9" x14ac:dyDescent="0.25">
      <c r="C18" s="56" t="s">
        <v>508</v>
      </c>
      <c r="D18" s="63">
        <v>4511550</v>
      </c>
      <c r="E18" s="113" t="s">
        <v>105</v>
      </c>
      <c r="F18" s="56"/>
      <c r="G18" s="93" t="s">
        <v>62</v>
      </c>
      <c r="H18" s="106" t="s">
        <v>339</v>
      </c>
      <c r="I18" s="59"/>
    </row>
    <row r="19" spans="3:9" x14ac:dyDescent="0.25">
      <c r="C19" s="56" t="s">
        <v>508</v>
      </c>
      <c r="D19" s="63">
        <v>4511700</v>
      </c>
      <c r="E19" s="113" t="s">
        <v>110</v>
      </c>
      <c r="F19" s="56"/>
      <c r="G19" s="93" t="s">
        <v>62</v>
      </c>
      <c r="H19" s="106" t="s">
        <v>343</v>
      </c>
      <c r="I19" s="59"/>
    </row>
    <row r="20" spans="3:9" x14ac:dyDescent="0.25">
      <c r="C20" s="56" t="s">
        <v>508</v>
      </c>
      <c r="D20" s="63">
        <v>4510110</v>
      </c>
      <c r="E20" s="113" t="s">
        <v>356</v>
      </c>
      <c r="F20" s="56"/>
      <c r="G20" s="93" t="s">
        <v>121</v>
      </c>
      <c r="H20" s="106" t="s">
        <v>358</v>
      </c>
      <c r="I20" s="59"/>
    </row>
    <row r="21" spans="3:9" x14ac:dyDescent="0.25">
      <c r="C21" s="56" t="s">
        <v>508</v>
      </c>
      <c r="D21" s="63">
        <v>4510140</v>
      </c>
      <c r="E21" s="113" t="s">
        <v>366</v>
      </c>
      <c r="F21" s="56"/>
      <c r="G21" s="93" t="s">
        <v>121</v>
      </c>
      <c r="H21" s="106" t="s">
        <v>367</v>
      </c>
      <c r="I21" s="59"/>
    </row>
    <row r="22" spans="3:9" x14ac:dyDescent="0.25">
      <c r="C22" s="56" t="s">
        <v>508</v>
      </c>
      <c r="D22" s="63">
        <v>4512200</v>
      </c>
      <c r="E22" s="113" t="s">
        <v>399</v>
      </c>
      <c r="F22" s="56"/>
      <c r="G22" s="93" t="s">
        <v>146</v>
      </c>
      <c r="H22" s="106" t="s">
        <v>400</v>
      </c>
      <c r="I22" s="59"/>
    </row>
    <row r="23" spans="3:9" x14ac:dyDescent="0.25">
      <c r="C23" s="56" t="s">
        <v>508</v>
      </c>
      <c r="D23" s="63">
        <v>4512300</v>
      </c>
      <c r="E23" s="113" t="s">
        <v>405</v>
      </c>
      <c r="F23" s="56"/>
      <c r="G23" s="93" t="s">
        <v>146</v>
      </c>
      <c r="H23" s="106" t="s">
        <v>406</v>
      </c>
      <c r="I23" s="59"/>
    </row>
    <row r="24" spans="3:9" x14ac:dyDescent="0.25">
      <c r="C24" s="56" t="s">
        <v>508</v>
      </c>
      <c r="D24" s="63">
        <v>4510250</v>
      </c>
      <c r="E24" s="113" t="s">
        <v>455</v>
      </c>
      <c r="F24" s="56"/>
      <c r="G24" s="93" t="s">
        <v>183</v>
      </c>
      <c r="H24" s="106" t="s">
        <v>456</v>
      </c>
      <c r="I24" s="59"/>
    </row>
    <row r="25" spans="3:9" x14ac:dyDescent="0.25">
      <c r="C25" s="56" t="s">
        <v>508</v>
      </c>
      <c r="D25" s="63">
        <v>4515010</v>
      </c>
      <c r="E25" s="113" t="s">
        <v>485</v>
      </c>
      <c r="F25" s="56"/>
      <c r="G25" s="93" t="s">
        <v>216</v>
      </c>
      <c r="H25" s="106" t="s">
        <v>486</v>
      </c>
      <c r="I25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CF1E-5F6A-41C2-8CE4-BCCE07C7A15D}">
  <sheetPr codeName="Sheet8"/>
  <dimension ref="A1:M151"/>
  <sheetViews>
    <sheetView topLeftCell="A20" workbookViewId="0">
      <selection activeCell="B143" sqref="B143:B149"/>
    </sheetView>
  </sheetViews>
  <sheetFormatPr defaultRowHeight="15" x14ac:dyDescent="0.25"/>
  <cols>
    <col min="1" max="1" width="8" bestFit="1" customWidth="1"/>
    <col min="2" max="2" width="36.5703125" bestFit="1" customWidth="1"/>
    <col min="3" max="3" width="13.28515625" bestFit="1" customWidth="1"/>
    <col min="4" max="4" width="9.7109375" bestFit="1" customWidth="1"/>
    <col min="5" max="5" width="9.28515625" bestFit="1" customWidth="1"/>
    <col min="6" max="6" width="8.140625" bestFit="1" customWidth="1"/>
    <col min="7" max="7" width="6.85546875" bestFit="1" customWidth="1"/>
    <col min="8" max="8" width="12.7109375" bestFit="1" customWidth="1"/>
    <col min="9" max="9" width="15.5703125" bestFit="1" customWidth="1"/>
    <col min="10" max="10" width="15.28515625" bestFit="1" customWidth="1"/>
    <col min="11" max="11" width="12.85546875" bestFit="1" customWidth="1"/>
    <col min="12" max="12" width="16.5703125" bestFit="1" customWidth="1"/>
  </cols>
  <sheetData>
    <row r="1" spans="1:13" ht="13.9" customHeight="1" x14ac:dyDescent="0.25">
      <c r="A1" s="220" t="s">
        <v>577</v>
      </c>
      <c r="B1" s="220"/>
      <c r="C1" s="220"/>
      <c r="D1" s="220"/>
      <c r="E1" s="220"/>
      <c r="F1" s="221" t="s">
        <v>578</v>
      </c>
      <c r="G1" s="221"/>
      <c r="H1" s="221"/>
      <c r="I1" s="221"/>
      <c r="J1" s="221" t="s">
        <v>579</v>
      </c>
      <c r="K1" s="221"/>
      <c r="L1" s="77">
        <v>45917.359722222223</v>
      </c>
    </row>
    <row r="2" spans="1:13" ht="13.9" customHeight="1" x14ac:dyDescent="0.25">
      <c r="A2" s="220" t="s">
        <v>580</v>
      </c>
      <c r="B2" s="220"/>
      <c r="C2" s="220"/>
      <c r="D2" s="220"/>
      <c r="E2" s="220"/>
      <c r="F2" s="220"/>
      <c r="G2" s="220"/>
      <c r="H2" s="218"/>
      <c r="I2" s="218"/>
      <c r="J2" s="218"/>
      <c r="K2" s="218"/>
      <c r="L2" s="218"/>
    </row>
    <row r="3" spans="1:13" ht="15.75" x14ac:dyDescent="0.25">
      <c r="A3" s="217" t="s">
        <v>581</v>
      </c>
      <c r="B3" s="217"/>
      <c r="C3" s="217"/>
      <c r="D3" s="217"/>
      <c r="E3" s="217"/>
      <c r="F3" s="217"/>
      <c r="G3" s="217"/>
      <c r="H3" s="218"/>
      <c r="I3" s="218"/>
      <c r="J3" s="219"/>
      <c r="K3" s="219"/>
      <c r="L3" s="219"/>
    </row>
    <row r="4" spans="1:13" ht="11.1" customHeight="1" x14ac:dyDescent="0.25">
      <c r="A4" s="78"/>
      <c r="B4" s="78"/>
      <c r="C4" s="78"/>
      <c r="D4" s="78"/>
      <c r="E4" s="219"/>
      <c r="F4" s="219"/>
      <c r="G4" s="78"/>
      <c r="H4" s="78"/>
      <c r="I4" s="78"/>
      <c r="J4" s="78"/>
      <c r="K4" s="78"/>
      <c r="L4" s="78"/>
    </row>
    <row r="6" spans="1:13" ht="13.15" customHeight="1" x14ac:dyDescent="0.25">
      <c r="A6" s="79" t="s">
        <v>582</v>
      </c>
      <c r="B6" s="79" t="s">
        <v>583</v>
      </c>
      <c r="C6" s="79" t="s">
        <v>584</v>
      </c>
      <c r="D6" s="79" t="s">
        <v>585</v>
      </c>
      <c r="E6" s="79" t="s">
        <v>586</v>
      </c>
      <c r="F6" s="79" t="s">
        <v>587</v>
      </c>
      <c r="G6" s="79" t="s">
        <v>588</v>
      </c>
      <c r="H6" s="79" t="s">
        <v>589</v>
      </c>
      <c r="I6" s="79" t="s">
        <v>590</v>
      </c>
      <c r="J6" s="79" t="s">
        <v>591</v>
      </c>
      <c r="K6" s="79" t="s">
        <v>592</v>
      </c>
      <c r="L6" s="90" t="s">
        <v>593</v>
      </c>
      <c r="M6" s="90" t="s">
        <v>594</v>
      </c>
    </row>
    <row r="7" spans="1:13" ht="13.15" customHeight="1" x14ac:dyDescent="0.25">
      <c r="A7" s="85">
        <v>4510000</v>
      </c>
      <c r="B7" s="86" t="s">
        <v>595</v>
      </c>
      <c r="C7" s="87">
        <v>40330</v>
      </c>
      <c r="D7" s="88"/>
      <c r="E7" s="88"/>
      <c r="F7" s="89" t="s">
        <v>596</v>
      </c>
      <c r="G7" s="89" t="s">
        <v>596</v>
      </c>
      <c r="H7" s="88"/>
      <c r="I7" s="85" t="s">
        <v>597</v>
      </c>
      <c r="J7" s="85" t="s">
        <v>597</v>
      </c>
      <c r="K7" s="86"/>
    </row>
    <row r="8" spans="1:13" ht="13.15" customHeight="1" x14ac:dyDescent="0.25">
      <c r="A8" s="83">
        <v>4510001</v>
      </c>
      <c r="B8" s="84" t="s">
        <v>598</v>
      </c>
      <c r="C8" s="80">
        <v>40282</v>
      </c>
      <c r="D8" s="81"/>
      <c r="E8" s="81"/>
      <c r="F8" s="82" t="s">
        <v>596</v>
      </c>
      <c r="G8" s="82" t="s">
        <v>597</v>
      </c>
      <c r="H8" s="81"/>
      <c r="I8" s="83" t="s">
        <v>596</v>
      </c>
      <c r="J8" s="83" t="s">
        <v>596</v>
      </c>
      <c r="K8" s="84"/>
    </row>
    <row r="9" spans="1:13" ht="13.15" customHeight="1" x14ac:dyDescent="0.25">
      <c r="A9" s="83">
        <v>4510011</v>
      </c>
      <c r="B9" s="84" t="s">
        <v>386</v>
      </c>
      <c r="C9" s="80">
        <v>45314</v>
      </c>
      <c r="D9" s="81"/>
      <c r="E9" s="81"/>
      <c r="F9" s="82" t="s">
        <v>596</v>
      </c>
      <c r="G9" s="82" t="s">
        <v>597</v>
      </c>
      <c r="H9" s="81"/>
      <c r="I9" s="83" t="s">
        <v>596</v>
      </c>
      <c r="J9" s="83" t="s">
        <v>596</v>
      </c>
      <c r="K9" s="84"/>
    </row>
    <row r="10" spans="1:13" ht="13.15" customHeight="1" x14ac:dyDescent="0.25">
      <c r="A10" s="85">
        <v>4510100</v>
      </c>
      <c r="B10" s="86" t="s">
        <v>599</v>
      </c>
      <c r="C10" s="87">
        <v>41557</v>
      </c>
      <c r="D10" s="88"/>
      <c r="E10" s="88"/>
      <c r="F10" s="89" t="s">
        <v>596</v>
      </c>
      <c r="G10" s="89" t="s">
        <v>596</v>
      </c>
      <c r="H10" s="88"/>
      <c r="I10" s="85" t="s">
        <v>597</v>
      </c>
      <c r="J10" s="85" t="s">
        <v>597</v>
      </c>
      <c r="K10" s="86"/>
    </row>
    <row r="11" spans="1:13" ht="13.15" customHeight="1" x14ac:dyDescent="0.25">
      <c r="A11" s="83">
        <v>4510110</v>
      </c>
      <c r="B11" s="84" t="s">
        <v>356</v>
      </c>
      <c r="C11" s="80">
        <v>41557</v>
      </c>
      <c r="D11" s="81"/>
      <c r="E11" s="81"/>
      <c r="F11" s="82" t="s">
        <v>596</v>
      </c>
      <c r="G11" s="82" t="s">
        <v>597</v>
      </c>
      <c r="H11" s="81"/>
      <c r="I11" s="83" t="s">
        <v>596</v>
      </c>
      <c r="J11" s="83" t="s">
        <v>596</v>
      </c>
      <c r="K11" s="84"/>
    </row>
    <row r="12" spans="1:13" ht="13.15" customHeight="1" x14ac:dyDescent="0.25">
      <c r="A12" s="83">
        <v>4510120</v>
      </c>
      <c r="B12" s="84" t="s">
        <v>600</v>
      </c>
      <c r="C12" s="80">
        <v>41557</v>
      </c>
      <c r="D12" s="81"/>
      <c r="E12" s="81"/>
      <c r="F12" s="82" t="s">
        <v>596</v>
      </c>
      <c r="G12" s="82" t="s">
        <v>597</v>
      </c>
      <c r="H12" s="81"/>
      <c r="I12" s="83" t="s">
        <v>596</v>
      </c>
      <c r="J12" s="83" t="s">
        <v>596</v>
      </c>
      <c r="K12" s="84"/>
    </row>
    <row r="13" spans="1:13" ht="13.15" customHeight="1" x14ac:dyDescent="0.25">
      <c r="A13" s="83">
        <v>4510121</v>
      </c>
      <c r="B13" s="84" t="s">
        <v>601</v>
      </c>
      <c r="C13" s="80">
        <v>43415</v>
      </c>
      <c r="D13" s="81"/>
      <c r="E13" s="81"/>
      <c r="F13" s="82" t="s">
        <v>596</v>
      </c>
      <c r="G13" s="82" t="s">
        <v>597</v>
      </c>
      <c r="H13" s="81"/>
      <c r="I13" s="83" t="s">
        <v>596</v>
      </c>
      <c r="J13" s="83" t="s">
        <v>596</v>
      </c>
      <c r="K13" s="84"/>
    </row>
    <row r="14" spans="1:13" ht="13.15" customHeight="1" x14ac:dyDescent="0.25">
      <c r="A14" s="83">
        <v>4510122</v>
      </c>
      <c r="B14" s="84" t="s">
        <v>602</v>
      </c>
      <c r="C14" s="80">
        <v>43415</v>
      </c>
      <c r="D14" s="81"/>
      <c r="E14" s="81"/>
      <c r="F14" s="82" t="s">
        <v>596</v>
      </c>
      <c r="G14" s="82" t="s">
        <v>597</v>
      </c>
      <c r="H14" s="81"/>
      <c r="I14" s="83" t="s">
        <v>596</v>
      </c>
      <c r="J14" s="83" t="s">
        <v>596</v>
      </c>
      <c r="K14" s="84"/>
    </row>
    <row r="15" spans="1:13" ht="13.15" customHeight="1" x14ac:dyDescent="0.25">
      <c r="A15" s="83">
        <v>4510123</v>
      </c>
      <c r="B15" s="84" t="s">
        <v>603</v>
      </c>
      <c r="C15" s="80">
        <v>43415</v>
      </c>
      <c r="D15" s="81"/>
      <c r="E15" s="81"/>
      <c r="F15" s="82" t="s">
        <v>596</v>
      </c>
      <c r="G15" s="82" t="s">
        <v>597</v>
      </c>
      <c r="H15" s="81"/>
      <c r="I15" s="83" t="s">
        <v>596</v>
      </c>
      <c r="J15" s="83" t="s">
        <v>596</v>
      </c>
      <c r="K15" s="84"/>
    </row>
    <row r="16" spans="1:13" ht="13.15" customHeight="1" x14ac:dyDescent="0.25">
      <c r="A16" s="83">
        <v>4510124</v>
      </c>
      <c r="B16" s="84" t="s">
        <v>604</v>
      </c>
      <c r="C16" s="80">
        <v>43415</v>
      </c>
      <c r="D16" s="81"/>
      <c r="E16" s="81"/>
      <c r="F16" s="82" t="s">
        <v>596</v>
      </c>
      <c r="G16" s="82" t="s">
        <v>597</v>
      </c>
      <c r="H16" s="81"/>
      <c r="I16" s="83" t="s">
        <v>596</v>
      </c>
      <c r="J16" s="83" t="s">
        <v>596</v>
      </c>
      <c r="K16" s="84"/>
    </row>
    <row r="17" spans="1:11" ht="13.15" customHeight="1" x14ac:dyDescent="0.25">
      <c r="A17" s="83">
        <v>4510125</v>
      </c>
      <c r="B17" s="84" t="s">
        <v>605</v>
      </c>
      <c r="C17" s="80">
        <v>43415</v>
      </c>
      <c r="D17" s="81"/>
      <c r="E17" s="81"/>
      <c r="F17" s="82" t="s">
        <v>596</v>
      </c>
      <c r="G17" s="82" t="s">
        <v>597</v>
      </c>
      <c r="H17" s="81"/>
      <c r="I17" s="83" t="s">
        <v>596</v>
      </c>
      <c r="J17" s="83" t="s">
        <v>596</v>
      </c>
      <c r="K17" s="84"/>
    </row>
    <row r="18" spans="1:11" ht="13.15" customHeight="1" x14ac:dyDescent="0.25">
      <c r="A18" s="83">
        <v>4510126</v>
      </c>
      <c r="B18" s="84" t="s">
        <v>606</v>
      </c>
      <c r="C18" s="80">
        <v>43415</v>
      </c>
      <c r="D18" s="81"/>
      <c r="E18" s="81"/>
      <c r="F18" s="82" t="s">
        <v>596</v>
      </c>
      <c r="G18" s="82" t="s">
        <v>597</v>
      </c>
      <c r="H18" s="81"/>
      <c r="I18" s="83" t="s">
        <v>596</v>
      </c>
      <c r="J18" s="83" t="s">
        <v>596</v>
      </c>
      <c r="K18" s="84"/>
    </row>
    <row r="19" spans="1:11" ht="13.15" customHeight="1" x14ac:dyDescent="0.25">
      <c r="A19" s="83">
        <v>4510127</v>
      </c>
      <c r="B19" s="84" t="s">
        <v>607</v>
      </c>
      <c r="C19" s="80">
        <v>43415</v>
      </c>
      <c r="D19" s="81"/>
      <c r="E19" s="81"/>
      <c r="F19" s="82" t="s">
        <v>596</v>
      </c>
      <c r="G19" s="82" t="s">
        <v>597</v>
      </c>
      <c r="H19" s="81"/>
      <c r="I19" s="83" t="s">
        <v>596</v>
      </c>
      <c r="J19" s="83" t="s">
        <v>596</v>
      </c>
      <c r="K19" s="84"/>
    </row>
    <row r="20" spans="1:11" ht="13.15" customHeight="1" x14ac:dyDescent="0.25">
      <c r="A20" s="83">
        <v>4510130</v>
      </c>
      <c r="B20" s="84" t="s">
        <v>608</v>
      </c>
      <c r="C20" s="80">
        <v>41557</v>
      </c>
      <c r="D20" s="81"/>
      <c r="E20" s="81"/>
      <c r="F20" s="82" t="s">
        <v>596</v>
      </c>
      <c r="G20" s="82" t="s">
        <v>597</v>
      </c>
      <c r="H20" s="81"/>
      <c r="I20" s="83" t="s">
        <v>596</v>
      </c>
      <c r="J20" s="83" t="s">
        <v>596</v>
      </c>
      <c r="K20" s="84"/>
    </row>
    <row r="21" spans="1:11" ht="13.15" customHeight="1" x14ac:dyDescent="0.25">
      <c r="A21" s="83">
        <v>4510140</v>
      </c>
      <c r="B21" s="84" t="s">
        <v>366</v>
      </c>
      <c r="C21" s="80">
        <v>41557</v>
      </c>
      <c r="D21" s="81"/>
      <c r="E21" s="81"/>
      <c r="F21" s="82" t="s">
        <v>596</v>
      </c>
      <c r="G21" s="82" t="s">
        <v>597</v>
      </c>
      <c r="H21" s="81"/>
      <c r="I21" s="83" t="s">
        <v>596</v>
      </c>
      <c r="J21" s="83" t="s">
        <v>596</v>
      </c>
      <c r="K21" s="84"/>
    </row>
    <row r="22" spans="1:11" ht="13.15" customHeight="1" x14ac:dyDescent="0.25">
      <c r="A22" s="83">
        <v>4510142</v>
      </c>
      <c r="B22" s="84" t="s">
        <v>609</v>
      </c>
      <c r="C22" s="80">
        <v>45806</v>
      </c>
      <c r="D22" s="81"/>
      <c r="E22" s="81"/>
      <c r="F22" s="82" t="s">
        <v>596</v>
      </c>
      <c r="G22" s="82" t="s">
        <v>597</v>
      </c>
      <c r="H22" s="81"/>
      <c r="I22" s="83" t="s">
        <v>596</v>
      </c>
      <c r="J22" s="83" t="s">
        <v>596</v>
      </c>
      <c r="K22" s="84"/>
    </row>
    <row r="23" spans="1:11" ht="13.15" customHeight="1" x14ac:dyDescent="0.25">
      <c r="A23" s="83">
        <v>4510150</v>
      </c>
      <c r="B23" s="84" t="s">
        <v>372</v>
      </c>
      <c r="C23" s="80">
        <v>41557</v>
      </c>
      <c r="D23" s="81"/>
      <c r="E23" s="81"/>
      <c r="F23" s="82" t="s">
        <v>596</v>
      </c>
      <c r="G23" s="82" t="s">
        <v>597</v>
      </c>
      <c r="H23" s="81"/>
      <c r="I23" s="83" t="s">
        <v>596</v>
      </c>
      <c r="J23" s="83" t="s">
        <v>596</v>
      </c>
      <c r="K23" s="84"/>
    </row>
    <row r="24" spans="1:11" ht="13.15" customHeight="1" x14ac:dyDescent="0.25">
      <c r="A24" s="83">
        <v>4510155</v>
      </c>
      <c r="B24" s="84" t="s">
        <v>379</v>
      </c>
      <c r="C24" s="80">
        <v>43937</v>
      </c>
      <c r="D24" s="81"/>
      <c r="E24" s="81"/>
      <c r="F24" s="82" t="s">
        <v>596</v>
      </c>
      <c r="G24" s="82" t="s">
        <v>597</v>
      </c>
      <c r="H24" s="81"/>
      <c r="I24" s="83" t="s">
        <v>596</v>
      </c>
      <c r="J24" s="83" t="s">
        <v>596</v>
      </c>
      <c r="K24" s="84"/>
    </row>
    <row r="25" spans="1:11" ht="13.15" customHeight="1" x14ac:dyDescent="0.25">
      <c r="A25" s="83">
        <v>4510160</v>
      </c>
      <c r="B25" s="84" t="s">
        <v>382</v>
      </c>
      <c r="C25" s="80">
        <v>41557</v>
      </c>
      <c r="D25" s="81"/>
      <c r="E25" s="81"/>
      <c r="F25" s="82" t="s">
        <v>596</v>
      </c>
      <c r="G25" s="82" t="s">
        <v>597</v>
      </c>
      <c r="H25" s="81"/>
      <c r="I25" s="83" t="s">
        <v>596</v>
      </c>
      <c r="J25" s="83" t="s">
        <v>596</v>
      </c>
      <c r="K25" s="84"/>
    </row>
    <row r="26" spans="1:11" ht="13.15" customHeight="1" x14ac:dyDescent="0.25">
      <c r="A26" s="83">
        <v>4510170</v>
      </c>
      <c r="B26" s="84" t="s">
        <v>462</v>
      </c>
      <c r="C26" s="80">
        <v>42325</v>
      </c>
      <c r="D26" s="81"/>
      <c r="E26" s="81"/>
      <c r="F26" s="82" t="s">
        <v>596</v>
      </c>
      <c r="G26" s="82" t="s">
        <v>597</v>
      </c>
      <c r="H26" s="81"/>
      <c r="I26" s="83" t="s">
        <v>596</v>
      </c>
      <c r="J26" s="83" t="s">
        <v>596</v>
      </c>
      <c r="K26" s="84"/>
    </row>
    <row r="27" spans="1:11" ht="13.15" customHeight="1" x14ac:dyDescent="0.25">
      <c r="A27" s="83">
        <v>4510175</v>
      </c>
      <c r="B27" s="84" t="s">
        <v>610</v>
      </c>
      <c r="C27" s="80">
        <v>43859</v>
      </c>
      <c r="D27" s="81"/>
      <c r="E27" s="81"/>
      <c r="F27" s="82" t="s">
        <v>596</v>
      </c>
      <c r="G27" s="82" t="s">
        <v>597</v>
      </c>
      <c r="H27" s="81"/>
      <c r="I27" s="83" t="s">
        <v>596</v>
      </c>
      <c r="J27" s="83" t="s">
        <v>596</v>
      </c>
      <c r="K27" s="84"/>
    </row>
    <row r="28" spans="1:11" ht="13.15" customHeight="1" x14ac:dyDescent="0.25">
      <c r="A28" s="83">
        <v>4510180</v>
      </c>
      <c r="B28" s="84" t="s">
        <v>611</v>
      </c>
      <c r="C28" s="80">
        <v>43859</v>
      </c>
      <c r="D28" s="81"/>
      <c r="E28" s="81"/>
      <c r="F28" s="82" t="s">
        <v>596</v>
      </c>
      <c r="G28" s="82" t="s">
        <v>597</v>
      </c>
      <c r="H28" s="81"/>
      <c r="I28" s="83" t="s">
        <v>596</v>
      </c>
      <c r="J28" s="83" t="s">
        <v>596</v>
      </c>
      <c r="K28" s="84"/>
    </row>
    <row r="29" spans="1:11" ht="13.15" customHeight="1" x14ac:dyDescent="0.25">
      <c r="A29" s="83">
        <v>4510181</v>
      </c>
      <c r="B29" s="84" t="s">
        <v>612</v>
      </c>
      <c r="C29" s="80">
        <v>44712</v>
      </c>
      <c r="D29" s="81"/>
      <c r="E29" s="81"/>
      <c r="F29" s="82" t="s">
        <v>596</v>
      </c>
      <c r="G29" s="82" t="s">
        <v>597</v>
      </c>
      <c r="H29" s="81"/>
      <c r="I29" s="83" t="s">
        <v>596</v>
      </c>
      <c r="J29" s="83" t="s">
        <v>596</v>
      </c>
      <c r="K29" s="84"/>
    </row>
    <row r="30" spans="1:11" ht="13.15" customHeight="1" x14ac:dyDescent="0.25">
      <c r="A30" s="83">
        <v>4510182</v>
      </c>
      <c r="B30" s="84" t="s">
        <v>613</v>
      </c>
      <c r="C30" s="80">
        <v>44712</v>
      </c>
      <c r="D30" s="81"/>
      <c r="E30" s="81"/>
      <c r="F30" s="82" t="s">
        <v>596</v>
      </c>
      <c r="G30" s="82" t="s">
        <v>597</v>
      </c>
      <c r="H30" s="81"/>
      <c r="I30" s="83" t="s">
        <v>596</v>
      </c>
      <c r="J30" s="83" t="s">
        <v>596</v>
      </c>
      <c r="K30" s="84"/>
    </row>
    <row r="31" spans="1:11" ht="13.15" customHeight="1" x14ac:dyDescent="0.25">
      <c r="A31" s="83">
        <v>4510183</v>
      </c>
      <c r="B31" s="84" t="s">
        <v>614</v>
      </c>
      <c r="C31" s="80">
        <v>44712</v>
      </c>
      <c r="D31" s="81"/>
      <c r="E31" s="81"/>
      <c r="F31" s="82" t="s">
        <v>596</v>
      </c>
      <c r="G31" s="82" t="s">
        <v>597</v>
      </c>
      <c r="H31" s="81"/>
      <c r="I31" s="83" t="s">
        <v>596</v>
      </c>
      <c r="J31" s="83" t="s">
        <v>596</v>
      </c>
      <c r="K31" s="84"/>
    </row>
    <row r="32" spans="1:11" ht="13.15" customHeight="1" x14ac:dyDescent="0.25">
      <c r="A32" s="83">
        <v>4510184</v>
      </c>
      <c r="B32" s="84" t="s">
        <v>615</v>
      </c>
      <c r="C32" s="80">
        <v>44712</v>
      </c>
      <c r="D32" s="81"/>
      <c r="E32" s="81"/>
      <c r="F32" s="82" t="s">
        <v>596</v>
      </c>
      <c r="G32" s="82" t="s">
        <v>597</v>
      </c>
      <c r="H32" s="81"/>
      <c r="I32" s="83" t="s">
        <v>596</v>
      </c>
      <c r="J32" s="83" t="s">
        <v>596</v>
      </c>
      <c r="K32" s="84"/>
    </row>
    <row r="33" spans="1:11" ht="13.15" customHeight="1" x14ac:dyDescent="0.25">
      <c r="A33" s="83">
        <v>4510185</v>
      </c>
      <c r="B33" s="84" t="s">
        <v>616</v>
      </c>
      <c r="C33" s="80">
        <v>44712</v>
      </c>
      <c r="D33" s="81"/>
      <c r="E33" s="81"/>
      <c r="F33" s="82" t="s">
        <v>596</v>
      </c>
      <c r="G33" s="82" t="s">
        <v>597</v>
      </c>
      <c r="H33" s="81"/>
      <c r="I33" s="83" t="s">
        <v>596</v>
      </c>
      <c r="J33" s="83" t="s">
        <v>596</v>
      </c>
      <c r="K33" s="84"/>
    </row>
    <row r="34" spans="1:11" ht="13.15" customHeight="1" x14ac:dyDescent="0.25">
      <c r="A34" s="83">
        <v>4510186</v>
      </c>
      <c r="B34" s="84" t="s">
        <v>617</v>
      </c>
      <c r="C34" s="80">
        <v>44712</v>
      </c>
      <c r="D34" s="81"/>
      <c r="E34" s="81"/>
      <c r="F34" s="82" t="s">
        <v>596</v>
      </c>
      <c r="G34" s="82" t="s">
        <v>597</v>
      </c>
      <c r="H34" s="81"/>
      <c r="I34" s="83" t="s">
        <v>596</v>
      </c>
      <c r="J34" s="83" t="s">
        <v>596</v>
      </c>
      <c r="K34" s="84"/>
    </row>
    <row r="35" spans="1:11" ht="13.15" customHeight="1" x14ac:dyDescent="0.25">
      <c r="A35" s="83">
        <v>4510190</v>
      </c>
      <c r="B35" s="84" t="s">
        <v>618</v>
      </c>
      <c r="C35" s="80">
        <v>43859</v>
      </c>
      <c r="D35" s="81"/>
      <c r="E35" s="81"/>
      <c r="F35" s="82" t="s">
        <v>596</v>
      </c>
      <c r="G35" s="82" t="s">
        <v>597</v>
      </c>
      <c r="H35" s="81"/>
      <c r="I35" s="83" t="s">
        <v>596</v>
      </c>
      <c r="J35" s="83" t="s">
        <v>596</v>
      </c>
      <c r="K35" s="84"/>
    </row>
    <row r="36" spans="1:11" ht="13.15" customHeight="1" x14ac:dyDescent="0.25">
      <c r="A36" s="83">
        <v>4510195</v>
      </c>
      <c r="B36" s="84" t="s">
        <v>18</v>
      </c>
      <c r="C36" s="80">
        <v>44241</v>
      </c>
      <c r="D36" s="81"/>
      <c r="E36" s="81"/>
      <c r="F36" s="82" t="s">
        <v>596</v>
      </c>
      <c r="G36" s="82" t="s">
        <v>597</v>
      </c>
      <c r="H36" s="81"/>
      <c r="I36" s="83" t="s">
        <v>596</v>
      </c>
      <c r="J36" s="83" t="s">
        <v>596</v>
      </c>
      <c r="K36" s="84"/>
    </row>
    <row r="37" spans="1:11" ht="13.15" customHeight="1" x14ac:dyDescent="0.25">
      <c r="A37" s="85">
        <v>4510200</v>
      </c>
      <c r="B37" s="86" t="s">
        <v>619</v>
      </c>
      <c r="C37" s="87">
        <v>41557</v>
      </c>
      <c r="D37" s="88"/>
      <c r="E37" s="88"/>
      <c r="F37" s="89" t="s">
        <v>596</v>
      </c>
      <c r="G37" s="89" t="s">
        <v>596</v>
      </c>
      <c r="H37" s="88"/>
      <c r="I37" s="85" t="s">
        <v>597</v>
      </c>
      <c r="J37" s="85" t="s">
        <v>597</v>
      </c>
      <c r="K37" s="86"/>
    </row>
    <row r="38" spans="1:11" ht="13.15" customHeight="1" x14ac:dyDescent="0.25">
      <c r="A38" s="83">
        <v>4510201</v>
      </c>
      <c r="B38" s="84" t="s">
        <v>441</v>
      </c>
      <c r="C38" s="80">
        <v>41567</v>
      </c>
      <c r="D38" s="81"/>
      <c r="E38" s="81"/>
      <c r="F38" s="82" t="s">
        <v>596</v>
      </c>
      <c r="G38" s="82" t="s">
        <v>597</v>
      </c>
      <c r="H38" s="81"/>
      <c r="I38" s="83" t="s">
        <v>596</v>
      </c>
      <c r="J38" s="83" t="s">
        <v>596</v>
      </c>
      <c r="K38" s="84"/>
    </row>
    <row r="39" spans="1:11" ht="13.15" customHeight="1" x14ac:dyDescent="0.25">
      <c r="A39" s="83">
        <v>4510202</v>
      </c>
      <c r="B39" s="84" t="s">
        <v>565</v>
      </c>
      <c r="C39" s="80">
        <v>45120</v>
      </c>
      <c r="D39" s="81"/>
      <c r="E39" s="81"/>
      <c r="F39" s="82" t="s">
        <v>596</v>
      </c>
      <c r="G39" s="82" t="s">
        <v>597</v>
      </c>
      <c r="H39" s="81"/>
      <c r="I39" s="83" t="s">
        <v>596</v>
      </c>
      <c r="J39" s="83" t="s">
        <v>596</v>
      </c>
      <c r="K39" s="84"/>
    </row>
    <row r="40" spans="1:11" ht="13.15" customHeight="1" x14ac:dyDescent="0.25">
      <c r="A40" s="83">
        <v>4510210</v>
      </c>
      <c r="B40" s="84" t="s">
        <v>447</v>
      </c>
      <c r="C40" s="80">
        <v>40282</v>
      </c>
      <c r="D40" s="81"/>
      <c r="E40" s="81"/>
      <c r="F40" s="82" t="s">
        <v>596</v>
      </c>
      <c r="G40" s="82" t="s">
        <v>597</v>
      </c>
      <c r="H40" s="81"/>
      <c r="I40" s="83" t="s">
        <v>596</v>
      </c>
      <c r="J40" s="83" t="s">
        <v>596</v>
      </c>
      <c r="K40" s="84"/>
    </row>
    <row r="41" spans="1:11" ht="13.15" customHeight="1" x14ac:dyDescent="0.25">
      <c r="A41" s="83">
        <v>4510220</v>
      </c>
      <c r="B41" s="84" t="s">
        <v>450</v>
      </c>
      <c r="C41" s="80">
        <v>41557</v>
      </c>
      <c r="D41" s="81"/>
      <c r="E41" s="81"/>
      <c r="F41" s="82" t="s">
        <v>596</v>
      </c>
      <c r="G41" s="82" t="s">
        <v>597</v>
      </c>
      <c r="H41" s="81"/>
      <c r="I41" s="83" t="s">
        <v>596</v>
      </c>
      <c r="J41" s="83" t="s">
        <v>596</v>
      </c>
      <c r="K41" s="84"/>
    </row>
    <row r="42" spans="1:11" ht="13.15" customHeight="1" x14ac:dyDescent="0.25">
      <c r="A42" s="83">
        <v>4510230</v>
      </c>
      <c r="B42" s="84" t="s">
        <v>214</v>
      </c>
      <c r="C42" s="80">
        <v>41557</v>
      </c>
      <c r="D42" s="81"/>
      <c r="E42" s="81"/>
      <c r="F42" s="82" t="s">
        <v>596</v>
      </c>
      <c r="G42" s="82" t="s">
        <v>597</v>
      </c>
      <c r="H42" s="81"/>
      <c r="I42" s="83" t="s">
        <v>596</v>
      </c>
      <c r="J42" s="83" t="s">
        <v>596</v>
      </c>
      <c r="K42" s="84"/>
    </row>
    <row r="43" spans="1:11" ht="13.15" customHeight="1" x14ac:dyDescent="0.25">
      <c r="A43" s="83">
        <v>4510240</v>
      </c>
      <c r="B43" s="84" t="s">
        <v>452</v>
      </c>
      <c r="C43" s="80">
        <v>41557</v>
      </c>
      <c r="D43" s="81"/>
      <c r="E43" s="81"/>
      <c r="F43" s="82" t="s">
        <v>596</v>
      </c>
      <c r="G43" s="82" t="s">
        <v>597</v>
      </c>
      <c r="H43" s="81"/>
      <c r="I43" s="83" t="s">
        <v>596</v>
      </c>
      <c r="J43" s="83" t="s">
        <v>596</v>
      </c>
      <c r="K43" s="84"/>
    </row>
    <row r="44" spans="1:11" ht="13.15" customHeight="1" x14ac:dyDescent="0.25">
      <c r="A44" s="83">
        <v>4510250</v>
      </c>
      <c r="B44" s="84" t="s">
        <v>455</v>
      </c>
      <c r="C44" s="80">
        <v>41557</v>
      </c>
      <c r="D44" s="81"/>
      <c r="E44" s="81"/>
      <c r="F44" s="82" t="s">
        <v>596</v>
      </c>
      <c r="G44" s="82" t="s">
        <v>597</v>
      </c>
      <c r="H44" s="81"/>
      <c r="I44" s="83" t="s">
        <v>596</v>
      </c>
      <c r="J44" s="83" t="s">
        <v>596</v>
      </c>
      <c r="K44" s="84"/>
    </row>
    <row r="45" spans="1:11" ht="13.15" customHeight="1" x14ac:dyDescent="0.25">
      <c r="A45" s="83">
        <v>4510260</v>
      </c>
      <c r="B45" s="84" t="s">
        <v>620</v>
      </c>
      <c r="C45" s="80">
        <v>42871</v>
      </c>
      <c r="D45" s="81"/>
      <c r="E45" s="81"/>
      <c r="F45" s="82" t="s">
        <v>596</v>
      </c>
      <c r="G45" s="82" t="s">
        <v>597</v>
      </c>
      <c r="H45" s="81"/>
      <c r="I45" s="83" t="s">
        <v>596</v>
      </c>
      <c r="J45" s="83" t="s">
        <v>596</v>
      </c>
      <c r="K45" s="84"/>
    </row>
    <row r="46" spans="1:11" ht="13.15" customHeight="1" x14ac:dyDescent="0.25">
      <c r="A46" s="83">
        <v>4510270</v>
      </c>
      <c r="B46" s="84" t="s">
        <v>621</v>
      </c>
      <c r="C46" s="80">
        <v>43129</v>
      </c>
      <c r="D46" s="81"/>
      <c r="E46" s="81"/>
      <c r="F46" s="82" t="s">
        <v>596</v>
      </c>
      <c r="G46" s="82" t="s">
        <v>597</v>
      </c>
      <c r="H46" s="81"/>
      <c r="I46" s="83" t="s">
        <v>596</v>
      </c>
      <c r="J46" s="83" t="s">
        <v>596</v>
      </c>
      <c r="K46" s="84"/>
    </row>
    <row r="47" spans="1:11" ht="13.15" customHeight="1" x14ac:dyDescent="0.25">
      <c r="A47" s="83">
        <v>4510310</v>
      </c>
      <c r="B47" s="84" t="s">
        <v>622</v>
      </c>
      <c r="C47" s="80">
        <v>45033</v>
      </c>
      <c r="D47" s="81"/>
      <c r="E47" s="81"/>
      <c r="F47" s="82" t="s">
        <v>596</v>
      </c>
      <c r="G47" s="82" t="s">
        <v>597</v>
      </c>
      <c r="H47" s="81"/>
      <c r="I47" s="83" t="s">
        <v>596</v>
      </c>
      <c r="J47" s="83" t="s">
        <v>596</v>
      </c>
      <c r="K47" s="84"/>
    </row>
    <row r="48" spans="1:11" ht="13.15" customHeight="1" x14ac:dyDescent="0.25">
      <c r="A48" s="83">
        <v>4510311</v>
      </c>
      <c r="B48" s="84" t="s">
        <v>623</v>
      </c>
      <c r="C48" s="80">
        <v>45890</v>
      </c>
      <c r="D48" s="81"/>
      <c r="E48" s="81"/>
      <c r="F48" s="82" t="s">
        <v>596</v>
      </c>
      <c r="G48" s="82" t="s">
        <v>597</v>
      </c>
      <c r="H48" s="81"/>
      <c r="I48" s="83" t="s">
        <v>596</v>
      </c>
      <c r="J48" s="83" t="s">
        <v>596</v>
      </c>
      <c r="K48" s="84"/>
    </row>
    <row r="49" spans="1:11" ht="13.15" customHeight="1" x14ac:dyDescent="0.25">
      <c r="A49" s="83">
        <v>4510320</v>
      </c>
      <c r="B49" s="84" t="s">
        <v>624</v>
      </c>
      <c r="C49" s="80">
        <v>45890</v>
      </c>
      <c r="D49" s="81"/>
      <c r="E49" s="81"/>
      <c r="F49" s="82" t="s">
        <v>596</v>
      </c>
      <c r="G49" s="82" t="s">
        <v>596</v>
      </c>
      <c r="H49" s="81"/>
      <c r="I49" s="83" t="s">
        <v>596</v>
      </c>
      <c r="J49" s="83" t="s">
        <v>596</v>
      </c>
      <c r="K49" s="84"/>
    </row>
    <row r="50" spans="1:11" ht="13.15" customHeight="1" x14ac:dyDescent="0.25">
      <c r="A50" s="83">
        <v>4510321</v>
      </c>
      <c r="B50" s="84" t="s">
        <v>625</v>
      </c>
      <c r="C50" s="80">
        <v>45890</v>
      </c>
      <c r="D50" s="81"/>
      <c r="E50" s="81"/>
      <c r="F50" s="82" t="s">
        <v>596</v>
      </c>
      <c r="G50" s="82" t="s">
        <v>597</v>
      </c>
      <c r="H50" s="81"/>
      <c r="I50" s="83" t="s">
        <v>596</v>
      </c>
      <c r="J50" s="83" t="s">
        <v>596</v>
      </c>
      <c r="K50" s="84"/>
    </row>
    <row r="51" spans="1:11" ht="13.15" customHeight="1" x14ac:dyDescent="0.25">
      <c r="A51" s="83">
        <v>4510322</v>
      </c>
      <c r="B51" s="84" t="s">
        <v>626</v>
      </c>
      <c r="C51" s="80">
        <v>45890</v>
      </c>
      <c r="D51" s="81"/>
      <c r="E51" s="81"/>
      <c r="F51" s="82" t="s">
        <v>596</v>
      </c>
      <c r="G51" s="82" t="s">
        <v>597</v>
      </c>
      <c r="H51" s="81"/>
      <c r="I51" s="83" t="s">
        <v>596</v>
      </c>
      <c r="J51" s="83" t="s">
        <v>596</v>
      </c>
      <c r="K51" s="84"/>
    </row>
    <row r="52" spans="1:11" ht="13.15" customHeight="1" x14ac:dyDescent="0.25">
      <c r="A52" s="83">
        <v>4510330</v>
      </c>
      <c r="B52" s="84" t="s">
        <v>627</v>
      </c>
      <c r="C52" s="80">
        <v>45890</v>
      </c>
      <c r="D52" s="81"/>
      <c r="E52" s="81"/>
      <c r="F52" s="82" t="s">
        <v>596</v>
      </c>
      <c r="G52" s="82" t="s">
        <v>596</v>
      </c>
      <c r="H52" s="81"/>
      <c r="I52" s="83" t="s">
        <v>596</v>
      </c>
      <c r="J52" s="83" t="s">
        <v>596</v>
      </c>
      <c r="K52" s="84"/>
    </row>
    <row r="53" spans="1:11" ht="13.15" customHeight="1" x14ac:dyDescent="0.25">
      <c r="A53" s="83">
        <v>4510331</v>
      </c>
      <c r="B53" s="84" t="s">
        <v>628</v>
      </c>
      <c r="C53" s="80">
        <v>45890</v>
      </c>
      <c r="D53" s="81"/>
      <c r="E53" s="81"/>
      <c r="F53" s="82" t="s">
        <v>596</v>
      </c>
      <c r="G53" s="82" t="s">
        <v>597</v>
      </c>
      <c r="H53" s="81"/>
      <c r="I53" s="83" t="s">
        <v>596</v>
      </c>
      <c r="J53" s="83" t="s">
        <v>596</v>
      </c>
      <c r="K53" s="84"/>
    </row>
    <row r="54" spans="1:11" ht="13.15" customHeight="1" x14ac:dyDescent="0.25">
      <c r="A54" s="83">
        <v>4510332</v>
      </c>
      <c r="B54" s="84" t="s">
        <v>629</v>
      </c>
      <c r="C54" s="80">
        <v>45890</v>
      </c>
      <c r="D54" s="81"/>
      <c r="E54" s="81"/>
      <c r="F54" s="82" t="s">
        <v>596</v>
      </c>
      <c r="G54" s="82" t="s">
        <v>597</v>
      </c>
      <c r="H54" s="81"/>
      <c r="I54" s="83" t="s">
        <v>596</v>
      </c>
      <c r="J54" s="83" t="s">
        <v>596</v>
      </c>
      <c r="K54" s="84"/>
    </row>
    <row r="55" spans="1:11" ht="13.15" customHeight="1" x14ac:dyDescent="0.25">
      <c r="A55" s="83">
        <v>4510340</v>
      </c>
      <c r="B55" s="84" t="s">
        <v>630</v>
      </c>
      <c r="C55" s="80">
        <v>45890</v>
      </c>
      <c r="D55" s="81"/>
      <c r="E55" s="81"/>
      <c r="F55" s="82" t="s">
        <v>596</v>
      </c>
      <c r="G55" s="82" t="s">
        <v>596</v>
      </c>
      <c r="H55" s="81"/>
      <c r="I55" s="83" t="s">
        <v>596</v>
      </c>
      <c r="J55" s="83" t="s">
        <v>596</v>
      </c>
      <c r="K55" s="84"/>
    </row>
    <row r="56" spans="1:11" ht="13.15" customHeight="1" x14ac:dyDescent="0.25">
      <c r="A56" s="83">
        <v>4510341</v>
      </c>
      <c r="B56" s="84" t="s">
        <v>631</v>
      </c>
      <c r="C56" s="80">
        <v>45890</v>
      </c>
      <c r="D56" s="81"/>
      <c r="E56" s="81"/>
      <c r="F56" s="82" t="s">
        <v>596</v>
      </c>
      <c r="G56" s="82" t="s">
        <v>597</v>
      </c>
      <c r="H56" s="81"/>
      <c r="I56" s="83" t="s">
        <v>596</v>
      </c>
      <c r="J56" s="83" t="s">
        <v>596</v>
      </c>
      <c r="K56" s="84"/>
    </row>
    <row r="57" spans="1:11" ht="13.15" customHeight="1" x14ac:dyDescent="0.25">
      <c r="A57" s="83">
        <v>4510342</v>
      </c>
      <c r="B57" s="84" t="s">
        <v>632</v>
      </c>
      <c r="C57" s="80">
        <v>45890</v>
      </c>
      <c r="D57" s="81"/>
      <c r="E57" s="81"/>
      <c r="F57" s="82" t="s">
        <v>596</v>
      </c>
      <c r="G57" s="82" t="s">
        <v>597</v>
      </c>
      <c r="H57" s="81"/>
      <c r="I57" s="83" t="s">
        <v>596</v>
      </c>
      <c r="J57" s="83" t="s">
        <v>596</v>
      </c>
      <c r="K57" s="84"/>
    </row>
    <row r="58" spans="1:11" ht="13.15" customHeight="1" x14ac:dyDescent="0.25">
      <c r="A58" s="83">
        <v>4510410</v>
      </c>
      <c r="B58" s="84" t="s">
        <v>633</v>
      </c>
      <c r="C58" s="80">
        <v>45033</v>
      </c>
      <c r="D58" s="81"/>
      <c r="E58" s="81"/>
      <c r="F58" s="82" t="s">
        <v>596</v>
      </c>
      <c r="G58" s="82" t="s">
        <v>597</v>
      </c>
      <c r="H58" s="81"/>
      <c r="I58" s="83" t="s">
        <v>596</v>
      </c>
      <c r="J58" s="83" t="s">
        <v>596</v>
      </c>
      <c r="K58" s="84"/>
    </row>
    <row r="59" spans="1:11" ht="13.15" customHeight="1" x14ac:dyDescent="0.25">
      <c r="A59" s="85">
        <v>4511000</v>
      </c>
      <c r="B59" s="86" t="s">
        <v>634</v>
      </c>
      <c r="C59" s="87">
        <v>40455</v>
      </c>
      <c r="D59" s="88"/>
      <c r="E59" s="88"/>
      <c r="F59" s="89" t="s">
        <v>596</v>
      </c>
      <c r="G59" s="89" t="s">
        <v>596</v>
      </c>
      <c r="H59" s="88"/>
      <c r="I59" s="85" t="s">
        <v>597</v>
      </c>
      <c r="J59" s="85" t="s">
        <v>597</v>
      </c>
      <c r="K59" s="86"/>
    </row>
    <row r="60" spans="1:11" ht="13.15" customHeight="1" x14ac:dyDescent="0.25">
      <c r="A60" s="83">
        <v>4511010</v>
      </c>
      <c r="B60" s="84" t="s">
        <v>81</v>
      </c>
      <c r="C60" s="80">
        <v>41567</v>
      </c>
      <c r="D60" s="81"/>
      <c r="E60" s="81"/>
      <c r="F60" s="82" t="s">
        <v>596</v>
      </c>
      <c r="G60" s="82" t="s">
        <v>597</v>
      </c>
      <c r="H60" s="81"/>
      <c r="I60" s="83" t="s">
        <v>596</v>
      </c>
      <c r="J60" s="83" t="s">
        <v>596</v>
      </c>
      <c r="K60" s="84"/>
    </row>
    <row r="61" spans="1:11" ht="13.15" customHeight="1" x14ac:dyDescent="0.25">
      <c r="A61" s="83">
        <v>4511011</v>
      </c>
      <c r="B61" s="84" t="s">
        <v>325</v>
      </c>
      <c r="C61" s="80">
        <v>45140</v>
      </c>
      <c r="D61" s="81"/>
      <c r="E61" s="81"/>
      <c r="F61" s="82" t="s">
        <v>596</v>
      </c>
      <c r="G61" s="82" t="s">
        <v>597</v>
      </c>
      <c r="H61" s="81"/>
      <c r="I61" s="83" t="s">
        <v>596</v>
      </c>
      <c r="J61" s="83" t="s">
        <v>596</v>
      </c>
      <c r="K61" s="84"/>
    </row>
    <row r="62" spans="1:11" ht="13.15" customHeight="1" x14ac:dyDescent="0.25">
      <c r="A62" s="83">
        <v>4511012</v>
      </c>
      <c r="B62" s="84" t="s">
        <v>635</v>
      </c>
      <c r="C62" s="80">
        <v>45120</v>
      </c>
      <c r="D62" s="81"/>
      <c r="E62" s="81"/>
      <c r="F62" s="82" t="s">
        <v>596</v>
      </c>
      <c r="G62" s="82" t="s">
        <v>597</v>
      </c>
      <c r="H62" s="81"/>
      <c r="I62" s="83" t="s">
        <v>596</v>
      </c>
      <c r="J62" s="83" t="s">
        <v>596</v>
      </c>
      <c r="K62" s="84"/>
    </row>
    <row r="63" spans="1:11" ht="13.15" customHeight="1" x14ac:dyDescent="0.25">
      <c r="A63" s="83">
        <v>4511100</v>
      </c>
      <c r="B63" s="84" t="s">
        <v>636</v>
      </c>
      <c r="C63" s="80">
        <v>41557</v>
      </c>
      <c r="D63" s="81"/>
      <c r="E63" s="81"/>
      <c r="F63" s="82" t="s">
        <v>596</v>
      </c>
      <c r="G63" s="82" t="s">
        <v>597</v>
      </c>
      <c r="H63" s="81"/>
      <c r="I63" s="83" t="s">
        <v>596</v>
      </c>
      <c r="J63" s="83" t="s">
        <v>596</v>
      </c>
      <c r="K63" s="84"/>
    </row>
    <row r="64" spans="1:11" ht="13.15" customHeight="1" x14ac:dyDescent="0.25">
      <c r="A64" s="83">
        <v>4511150</v>
      </c>
      <c r="B64" s="84" t="s">
        <v>92</v>
      </c>
      <c r="C64" s="80">
        <v>43129</v>
      </c>
      <c r="D64" s="81"/>
      <c r="E64" s="81"/>
      <c r="F64" s="82" t="s">
        <v>596</v>
      </c>
      <c r="G64" s="82" t="s">
        <v>597</v>
      </c>
      <c r="H64" s="81"/>
      <c r="I64" s="83" t="s">
        <v>596</v>
      </c>
      <c r="J64" s="83" t="s">
        <v>596</v>
      </c>
      <c r="K64" s="84"/>
    </row>
    <row r="65" spans="1:11" ht="13.15" customHeight="1" x14ac:dyDescent="0.25">
      <c r="A65" s="83">
        <v>4511200</v>
      </c>
      <c r="B65" s="84" t="s">
        <v>637</v>
      </c>
      <c r="C65" s="80">
        <v>41631</v>
      </c>
      <c r="D65" s="81"/>
      <c r="E65" s="81"/>
      <c r="F65" s="82" t="s">
        <v>596</v>
      </c>
      <c r="G65" s="82" t="s">
        <v>597</v>
      </c>
      <c r="H65" s="81"/>
      <c r="I65" s="83" t="s">
        <v>596</v>
      </c>
      <c r="J65" s="83" t="s">
        <v>596</v>
      </c>
      <c r="K65" s="84"/>
    </row>
    <row r="66" spans="1:11" ht="13.15" customHeight="1" x14ac:dyDescent="0.25">
      <c r="A66" s="83">
        <v>4511250</v>
      </c>
      <c r="B66" s="84" t="s">
        <v>100</v>
      </c>
      <c r="C66" s="80">
        <v>41631</v>
      </c>
      <c r="D66" s="81"/>
      <c r="E66" s="81"/>
      <c r="F66" s="82" t="s">
        <v>596</v>
      </c>
      <c r="G66" s="82" t="s">
        <v>597</v>
      </c>
      <c r="H66" s="81"/>
      <c r="I66" s="83" t="s">
        <v>596</v>
      </c>
      <c r="J66" s="83" t="s">
        <v>596</v>
      </c>
      <c r="K66" s="84"/>
    </row>
    <row r="67" spans="1:11" ht="13.15" customHeight="1" x14ac:dyDescent="0.25">
      <c r="A67" s="83">
        <v>4511300</v>
      </c>
      <c r="B67" s="84" t="s">
        <v>66</v>
      </c>
      <c r="C67" s="80">
        <v>41631</v>
      </c>
      <c r="D67" s="81"/>
      <c r="E67" s="81"/>
      <c r="F67" s="82" t="s">
        <v>596</v>
      </c>
      <c r="G67" s="82" t="s">
        <v>597</v>
      </c>
      <c r="H67" s="81"/>
      <c r="I67" s="83" t="s">
        <v>596</v>
      </c>
      <c r="J67" s="83" t="s">
        <v>596</v>
      </c>
      <c r="K67" s="84"/>
    </row>
    <row r="68" spans="1:11" ht="13.15" customHeight="1" x14ac:dyDescent="0.25">
      <c r="A68" s="83">
        <v>4511400</v>
      </c>
      <c r="B68" s="84" t="s">
        <v>638</v>
      </c>
      <c r="C68" s="80">
        <v>41557</v>
      </c>
      <c r="D68" s="81"/>
      <c r="E68" s="81"/>
      <c r="F68" s="82" t="s">
        <v>596</v>
      </c>
      <c r="G68" s="82" t="s">
        <v>597</v>
      </c>
      <c r="H68" s="81"/>
      <c r="I68" s="83" t="s">
        <v>596</v>
      </c>
      <c r="J68" s="83" t="s">
        <v>596</v>
      </c>
      <c r="K68" s="84"/>
    </row>
    <row r="69" spans="1:11" ht="13.15" customHeight="1" x14ac:dyDescent="0.25">
      <c r="A69" s="83">
        <v>4511500</v>
      </c>
      <c r="B69" s="84" t="s">
        <v>639</v>
      </c>
      <c r="C69" s="80">
        <v>41631</v>
      </c>
      <c r="D69" s="81"/>
      <c r="E69" s="81"/>
      <c r="F69" s="82" t="s">
        <v>596</v>
      </c>
      <c r="G69" s="82" t="s">
        <v>597</v>
      </c>
      <c r="H69" s="81"/>
      <c r="I69" s="83" t="s">
        <v>596</v>
      </c>
      <c r="J69" s="83" t="s">
        <v>596</v>
      </c>
      <c r="K69" s="84"/>
    </row>
    <row r="70" spans="1:11" ht="13.15" customHeight="1" x14ac:dyDescent="0.25">
      <c r="A70" s="83">
        <v>4511550</v>
      </c>
      <c r="B70" s="84" t="s">
        <v>105</v>
      </c>
      <c r="C70" s="80">
        <v>43859</v>
      </c>
      <c r="D70" s="81"/>
      <c r="E70" s="81"/>
      <c r="F70" s="82" t="s">
        <v>596</v>
      </c>
      <c r="G70" s="82" t="s">
        <v>597</v>
      </c>
      <c r="H70" s="81"/>
      <c r="I70" s="83" t="s">
        <v>596</v>
      </c>
      <c r="J70" s="83" t="s">
        <v>596</v>
      </c>
      <c r="K70" s="84"/>
    </row>
    <row r="71" spans="1:11" ht="13.15" customHeight="1" x14ac:dyDescent="0.25">
      <c r="A71" s="83">
        <v>4511600</v>
      </c>
      <c r="B71" s="84" t="s">
        <v>71</v>
      </c>
      <c r="C71" s="80">
        <v>41631</v>
      </c>
      <c r="D71" s="81"/>
      <c r="E71" s="81"/>
      <c r="F71" s="82" t="s">
        <v>596</v>
      </c>
      <c r="G71" s="82" t="s">
        <v>597</v>
      </c>
      <c r="H71" s="81"/>
      <c r="I71" s="83" t="s">
        <v>596</v>
      </c>
      <c r="J71" s="83" t="s">
        <v>596</v>
      </c>
      <c r="K71" s="84"/>
    </row>
    <row r="72" spans="1:11" ht="13.15" customHeight="1" x14ac:dyDescent="0.25">
      <c r="A72" s="83">
        <v>4511700</v>
      </c>
      <c r="B72" s="84" t="s">
        <v>110</v>
      </c>
      <c r="C72" s="80">
        <v>41631</v>
      </c>
      <c r="D72" s="81"/>
      <c r="E72" s="81"/>
      <c r="F72" s="82" t="s">
        <v>596</v>
      </c>
      <c r="G72" s="82" t="s">
        <v>597</v>
      </c>
      <c r="H72" s="81"/>
      <c r="I72" s="83" t="s">
        <v>596</v>
      </c>
      <c r="J72" s="83" t="s">
        <v>596</v>
      </c>
      <c r="K72" s="84"/>
    </row>
    <row r="73" spans="1:11" ht="13.15" customHeight="1" x14ac:dyDescent="0.25">
      <c r="A73" s="83">
        <v>4511750</v>
      </c>
      <c r="B73" s="84" t="s">
        <v>346</v>
      </c>
      <c r="C73" s="80">
        <v>44039</v>
      </c>
      <c r="D73" s="81"/>
      <c r="E73" s="81"/>
      <c r="F73" s="82" t="s">
        <v>596</v>
      </c>
      <c r="G73" s="82" t="s">
        <v>597</v>
      </c>
      <c r="H73" s="81"/>
      <c r="I73" s="83" t="s">
        <v>596</v>
      </c>
      <c r="J73" s="83" t="s">
        <v>596</v>
      </c>
      <c r="K73" s="84"/>
    </row>
    <row r="74" spans="1:11" ht="13.15" customHeight="1" x14ac:dyDescent="0.25">
      <c r="A74" s="83">
        <v>4511800</v>
      </c>
      <c r="B74" s="84" t="s">
        <v>351</v>
      </c>
      <c r="C74" s="80">
        <v>41631</v>
      </c>
      <c r="D74" s="81"/>
      <c r="E74" s="81"/>
      <c r="F74" s="82" t="s">
        <v>596</v>
      </c>
      <c r="G74" s="82" t="s">
        <v>597</v>
      </c>
      <c r="H74" s="81"/>
      <c r="I74" s="83" t="s">
        <v>596</v>
      </c>
      <c r="J74" s="83" t="s">
        <v>596</v>
      </c>
      <c r="K74" s="84"/>
    </row>
    <row r="75" spans="1:11" ht="13.15" customHeight="1" x14ac:dyDescent="0.25">
      <c r="A75" s="83">
        <v>4511900</v>
      </c>
      <c r="B75" s="84" t="s">
        <v>640</v>
      </c>
      <c r="C75" s="80">
        <v>43508</v>
      </c>
      <c r="D75" s="81"/>
      <c r="E75" s="81"/>
      <c r="F75" s="82" t="s">
        <v>596</v>
      </c>
      <c r="G75" s="82" t="s">
        <v>597</v>
      </c>
      <c r="H75" s="81"/>
      <c r="I75" s="83" t="s">
        <v>596</v>
      </c>
      <c r="J75" s="83" t="s">
        <v>596</v>
      </c>
      <c r="K75" s="84"/>
    </row>
    <row r="76" spans="1:11" ht="13.15" customHeight="1" x14ac:dyDescent="0.25">
      <c r="A76" s="83">
        <v>4511950</v>
      </c>
      <c r="B76" s="84" t="s">
        <v>641</v>
      </c>
      <c r="C76" s="80">
        <v>43508</v>
      </c>
      <c r="D76" s="81"/>
      <c r="E76" s="81"/>
      <c r="F76" s="82" t="s">
        <v>596</v>
      </c>
      <c r="G76" s="82" t="s">
        <v>597</v>
      </c>
      <c r="H76" s="81"/>
      <c r="I76" s="83" t="s">
        <v>596</v>
      </c>
      <c r="J76" s="83" t="s">
        <v>596</v>
      </c>
      <c r="K76" s="84"/>
    </row>
    <row r="77" spans="1:11" ht="13.15" customHeight="1" x14ac:dyDescent="0.25">
      <c r="A77" s="85">
        <v>4512000</v>
      </c>
      <c r="B77" s="86" t="s">
        <v>642</v>
      </c>
      <c r="C77" s="87">
        <v>43129</v>
      </c>
      <c r="D77" s="88"/>
      <c r="E77" s="88"/>
      <c r="F77" s="89" t="s">
        <v>596</v>
      </c>
      <c r="G77" s="89" t="s">
        <v>596</v>
      </c>
      <c r="H77" s="88"/>
      <c r="I77" s="85" t="s">
        <v>597</v>
      </c>
      <c r="J77" s="85" t="s">
        <v>597</v>
      </c>
      <c r="K77" s="86"/>
    </row>
    <row r="78" spans="1:11" ht="13.15" customHeight="1" x14ac:dyDescent="0.25">
      <c r="A78" s="83">
        <v>4512010</v>
      </c>
      <c r="B78" s="84" t="s">
        <v>387</v>
      </c>
      <c r="C78" s="80">
        <v>43164</v>
      </c>
      <c r="D78" s="81"/>
      <c r="E78" s="81"/>
      <c r="F78" s="82" t="s">
        <v>596</v>
      </c>
      <c r="G78" s="82" t="s">
        <v>597</v>
      </c>
      <c r="H78" s="81"/>
      <c r="I78" s="83" t="s">
        <v>596</v>
      </c>
      <c r="J78" s="83" t="s">
        <v>596</v>
      </c>
      <c r="K78" s="84"/>
    </row>
    <row r="79" spans="1:11" ht="13.15" customHeight="1" x14ac:dyDescent="0.25">
      <c r="A79" s="83">
        <v>4512100</v>
      </c>
      <c r="B79" s="84" t="s">
        <v>394</v>
      </c>
      <c r="C79" s="80">
        <v>43129</v>
      </c>
      <c r="D79" s="81"/>
      <c r="E79" s="81"/>
      <c r="F79" s="82" t="s">
        <v>596</v>
      </c>
      <c r="G79" s="82" t="s">
        <v>597</v>
      </c>
      <c r="H79" s="81"/>
      <c r="I79" s="83" t="s">
        <v>596</v>
      </c>
      <c r="J79" s="83" t="s">
        <v>596</v>
      </c>
      <c r="K79" s="84"/>
    </row>
    <row r="80" spans="1:11" ht="13.15" customHeight="1" x14ac:dyDescent="0.3">
      <c r="A80" s="83">
        <v>4512200</v>
      </c>
      <c r="B80" s="84" t="s">
        <v>399</v>
      </c>
      <c r="C80" s="80">
        <v>43129</v>
      </c>
      <c r="D80" s="81"/>
      <c r="E80" s="81"/>
      <c r="F80" s="82" t="s">
        <v>596</v>
      </c>
      <c r="G80" s="82" t="s">
        <v>597</v>
      </c>
      <c r="H80" s="81"/>
      <c r="I80" s="83" t="s">
        <v>596</v>
      </c>
      <c r="J80" s="83" t="s">
        <v>596</v>
      </c>
      <c r="K80" s="84"/>
    </row>
    <row r="81" spans="1:11" ht="13.15" customHeight="1" x14ac:dyDescent="0.3">
      <c r="A81" s="83">
        <v>4512300</v>
      </c>
      <c r="B81" s="84" t="s">
        <v>405</v>
      </c>
      <c r="C81" s="80">
        <v>43129</v>
      </c>
      <c r="D81" s="81"/>
      <c r="E81" s="81"/>
      <c r="F81" s="82" t="s">
        <v>596</v>
      </c>
      <c r="G81" s="82" t="s">
        <v>597</v>
      </c>
      <c r="H81" s="81"/>
      <c r="I81" s="83" t="s">
        <v>596</v>
      </c>
      <c r="J81" s="83" t="s">
        <v>596</v>
      </c>
      <c r="K81" s="84"/>
    </row>
    <row r="82" spans="1:11" ht="13.15" customHeight="1" x14ac:dyDescent="0.3">
      <c r="A82" s="83">
        <v>4512400</v>
      </c>
      <c r="B82" s="84" t="s">
        <v>643</v>
      </c>
      <c r="C82" s="80">
        <v>43129</v>
      </c>
      <c r="D82" s="81"/>
      <c r="E82" s="81"/>
      <c r="F82" s="82" t="s">
        <v>596</v>
      </c>
      <c r="G82" s="82" t="s">
        <v>597</v>
      </c>
      <c r="H82" s="81"/>
      <c r="I82" s="83" t="s">
        <v>596</v>
      </c>
      <c r="J82" s="83" t="s">
        <v>596</v>
      </c>
      <c r="K82" s="84"/>
    </row>
    <row r="83" spans="1:11" ht="13.15" customHeight="1" x14ac:dyDescent="0.3">
      <c r="A83" s="85">
        <v>4513000</v>
      </c>
      <c r="B83" s="86" t="s">
        <v>644</v>
      </c>
      <c r="C83" s="87">
        <v>41557</v>
      </c>
      <c r="D83" s="88"/>
      <c r="E83" s="88"/>
      <c r="F83" s="89" t="s">
        <v>596</v>
      </c>
      <c r="G83" s="89" t="s">
        <v>596</v>
      </c>
      <c r="H83" s="88"/>
      <c r="I83" s="85" t="s">
        <v>597</v>
      </c>
      <c r="J83" s="85" t="s">
        <v>597</v>
      </c>
      <c r="K83" s="86"/>
    </row>
    <row r="84" spans="1:11" ht="13.15" customHeight="1" x14ac:dyDescent="0.3">
      <c r="A84" s="83">
        <v>4513010</v>
      </c>
      <c r="B84" s="84" t="s">
        <v>645</v>
      </c>
      <c r="C84" s="80">
        <v>41557</v>
      </c>
      <c r="D84" s="81"/>
      <c r="E84" s="81"/>
      <c r="F84" s="82" t="s">
        <v>596</v>
      </c>
      <c r="G84" s="82" t="s">
        <v>597</v>
      </c>
      <c r="H84" s="81"/>
      <c r="I84" s="83" t="s">
        <v>596</v>
      </c>
      <c r="J84" s="83" t="s">
        <v>596</v>
      </c>
      <c r="K84" s="84"/>
    </row>
    <row r="85" spans="1:11" ht="13.15" customHeight="1" x14ac:dyDescent="0.25">
      <c r="A85" s="83">
        <v>4513100</v>
      </c>
      <c r="B85" s="84" t="s">
        <v>646</v>
      </c>
      <c r="C85" s="80">
        <v>41631</v>
      </c>
      <c r="D85" s="81"/>
      <c r="E85" s="81"/>
      <c r="F85" s="82" t="s">
        <v>596</v>
      </c>
      <c r="G85" s="82" t="s">
        <v>597</v>
      </c>
      <c r="H85" s="81"/>
      <c r="I85" s="83" t="s">
        <v>596</v>
      </c>
      <c r="J85" s="83" t="s">
        <v>596</v>
      </c>
      <c r="K85" s="84"/>
    </row>
    <row r="86" spans="1:11" ht="13.15" customHeight="1" x14ac:dyDescent="0.25">
      <c r="A86" s="83">
        <v>4513110</v>
      </c>
      <c r="B86" s="84" t="s">
        <v>170</v>
      </c>
      <c r="C86" s="80">
        <v>44993</v>
      </c>
      <c r="D86" s="81"/>
      <c r="E86" s="81"/>
      <c r="F86" s="82" t="s">
        <v>596</v>
      </c>
      <c r="G86" s="82" t="s">
        <v>597</v>
      </c>
      <c r="H86" s="81"/>
      <c r="I86" s="83" t="s">
        <v>596</v>
      </c>
      <c r="J86" s="83" t="s">
        <v>596</v>
      </c>
      <c r="K86" s="84"/>
    </row>
    <row r="87" spans="1:11" ht="13.15" customHeight="1" x14ac:dyDescent="0.25">
      <c r="A87" s="83">
        <v>4513111</v>
      </c>
      <c r="B87" s="84" t="s">
        <v>440</v>
      </c>
      <c r="C87" s="80">
        <v>45313</v>
      </c>
      <c r="D87" s="81"/>
      <c r="E87" s="81"/>
      <c r="F87" s="82" t="s">
        <v>596</v>
      </c>
      <c r="G87" s="82" t="s">
        <v>597</v>
      </c>
      <c r="H87" s="81"/>
      <c r="I87" s="83" t="s">
        <v>596</v>
      </c>
      <c r="J87" s="83" t="s">
        <v>596</v>
      </c>
      <c r="K87" s="84"/>
    </row>
    <row r="88" spans="1:11" ht="13.15" customHeight="1" x14ac:dyDescent="0.25">
      <c r="A88" s="83">
        <v>4513120</v>
      </c>
      <c r="B88" s="84" t="s">
        <v>434</v>
      </c>
      <c r="C88" s="80">
        <v>44993</v>
      </c>
      <c r="D88" s="81"/>
      <c r="E88" s="81"/>
      <c r="F88" s="82" t="s">
        <v>596</v>
      </c>
      <c r="G88" s="82" t="s">
        <v>597</v>
      </c>
      <c r="H88" s="81"/>
      <c r="I88" s="83" t="s">
        <v>596</v>
      </c>
      <c r="J88" s="83" t="s">
        <v>596</v>
      </c>
      <c r="K88" s="84"/>
    </row>
    <row r="89" spans="1:11" ht="13.15" customHeight="1" x14ac:dyDescent="0.25">
      <c r="A89" s="83">
        <v>4513130</v>
      </c>
      <c r="B89" s="84" t="s">
        <v>177</v>
      </c>
      <c r="C89" s="80">
        <v>44993</v>
      </c>
      <c r="D89" s="81"/>
      <c r="E89" s="81"/>
      <c r="F89" s="82" t="s">
        <v>596</v>
      </c>
      <c r="G89" s="82" t="s">
        <v>597</v>
      </c>
      <c r="H89" s="81"/>
      <c r="I89" s="83" t="s">
        <v>596</v>
      </c>
      <c r="J89" s="83" t="s">
        <v>596</v>
      </c>
      <c r="K89" s="84"/>
    </row>
    <row r="90" spans="1:11" ht="13.15" customHeight="1" x14ac:dyDescent="0.25">
      <c r="A90" s="83">
        <v>4513140</v>
      </c>
      <c r="B90" s="84" t="s">
        <v>438</v>
      </c>
      <c r="C90" s="80">
        <v>45027</v>
      </c>
      <c r="D90" s="81"/>
      <c r="E90" s="81"/>
      <c r="F90" s="82" t="s">
        <v>596</v>
      </c>
      <c r="G90" s="82" t="s">
        <v>597</v>
      </c>
      <c r="H90" s="81"/>
      <c r="I90" s="83" t="s">
        <v>596</v>
      </c>
      <c r="J90" s="83" t="s">
        <v>596</v>
      </c>
      <c r="K90" s="84"/>
    </row>
    <row r="91" spans="1:11" ht="13.15" customHeight="1" x14ac:dyDescent="0.25">
      <c r="A91" s="83">
        <v>4513200</v>
      </c>
      <c r="B91" s="84" t="s">
        <v>647</v>
      </c>
      <c r="C91" s="80">
        <v>41631</v>
      </c>
      <c r="D91" s="81"/>
      <c r="E91" s="81"/>
      <c r="F91" s="82" t="s">
        <v>596</v>
      </c>
      <c r="G91" s="82" t="s">
        <v>597</v>
      </c>
      <c r="H91" s="81"/>
      <c r="I91" s="83" t="s">
        <v>596</v>
      </c>
      <c r="J91" s="83" t="s">
        <v>596</v>
      </c>
      <c r="K91" s="84"/>
    </row>
    <row r="92" spans="1:11" ht="13.15" customHeight="1" x14ac:dyDescent="0.25">
      <c r="A92" s="83">
        <v>4513300</v>
      </c>
      <c r="B92" s="84" t="s">
        <v>648</v>
      </c>
      <c r="C92" s="80">
        <v>41631</v>
      </c>
      <c r="D92" s="81"/>
      <c r="E92" s="81"/>
      <c r="F92" s="82" t="s">
        <v>596</v>
      </c>
      <c r="G92" s="82" t="s">
        <v>597</v>
      </c>
      <c r="H92" s="81"/>
      <c r="I92" s="83" t="s">
        <v>596</v>
      </c>
      <c r="J92" s="83" t="s">
        <v>596</v>
      </c>
      <c r="K92" s="84"/>
    </row>
    <row r="93" spans="1:11" ht="13.15" customHeight="1" x14ac:dyDescent="0.25">
      <c r="A93" s="83">
        <v>4513400</v>
      </c>
      <c r="B93" s="84" t="s">
        <v>649</v>
      </c>
      <c r="C93" s="80">
        <v>41631</v>
      </c>
      <c r="D93" s="81"/>
      <c r="E93" s="81"/>
      <c r="F93" s="82" t="s">
        <v>596</v>
      </c>
      <c r="G93" s="82" t="s">
        <v>597</v>
      </c>
      <c r="H93" s="81"/>
      <c r="I93" s="83" t="s">
        <v>596</v>
      </c>
      <c r="J93" s="83" t="s">
        <v>596</v>
      </c>
      <c r="K93" s="84"/>
    </row>
    <row r="94" spans="1:11" ht="13.15" customHeight="1" x14ac:dyDescent="0.25">
      <c r="A94" s="83">
        <v>4513500</v>
      </c>
      <c r="B94" s="84" t="s">
        <v>650</v>
      </c>
      <c r="C94" s="80">
        <v>41631</v>
      </c>
      <c r="D94" s="81"/>
      <c r="E94" s="81"/>
      <c r="F94" s="82" t="s">
        <v>596</v>
      </c>
      <c r="G94" s="82" t="s">
        <v>597</v>
      </c>
      <c r="H94" s="81"/>
      <c r="I94" s="83" t="s">
        <v>596</v>
      </c>
      <c r="J94" s="83" t="s">
        <v>596</v>
      </c>
      <c r="K94" s="84"/>
    </row>
    <row r="95" spans="1:11" ht="13.15" customHeight="1" x14ac:dyDescent="0.25">
      <c r="A95" s="83">
        <v>4513600</v>
      </c>
      <c r="B95" s="84" t="s">
        <v>651</v>
      </c>
      <c r="C95" s="80">
        <v>41631</v>
      </c>
      <c r="D95" s="81"/>
      <c r="E95" s="81"/>
      <c r="F95" s="82" t="s">
        <v>596</v>
      </c>
      <c r="G95" s="82" t="s">
        <v>597</v>
      </c>
      <c r="H95" s="81"/>
      <c r="I95" s="83" t="s">
        <v>596</v>
      </c>
      <c r="J95" s="83" t="s">
        <v>596</v>
      </c>
      <c r="K95" s="84"/>
    </row>
    <row r="96" spans="1:11" ht="13.15" customHeight="1" x14ac:dyDescent="0.25">
      <c r="A96" s="83">
        <v>4513700</v>
      </c>
      <c r="B96" s="84" t="s">
        <v>652</v>
      </c>
      <c r="C96" s="80">
        <v>41631</v>
      </c>
      <c r="D96" s="81"/>
      <c r="E96" s="81"/>
      <c r="F96" s="82" t="s">
        <v>596</v>
      </c>
      <c r="G96" s="82" t="s">
        <v>597</v>
      </c>
      <c r="H96" s="81"/>
      <c r="I96" s="83" t="s">
        <v>596</v>
      </c>
      <c r="J96" s="83" t="s">
        <v>596</v>
      </c>
      <c r="K96" s="84"/>
    </row>
    <row r="97" spans="1:11" ht="13.15" customHeight="1" x14ac:dyDescent="0.25">
      <c r="A97" s="83">
        <v>4513800</v>
      </c>
      <c r="B97" s="84" t="s">
        <v>653</v>
      </c>
      <c r="C97" s="80">
        <v>43508</v>
      </c>
      <c r="D97" s="81"/>
      <c r="E97" s="81"/>
      <c r="F97" s="82" t="s">
        <v>596</v>
      </c>
      <c r="G97" s="82" t="s">
        <v>597</v>
      </c>
      <c r="H97" s="81"/>
      <c r="I97" s="83" t="s">
        <v>596</v>
      </c>
      <c r="J97" s="83" t="s">
        <v>596</v>
      </c>
      <c r="K97" s="84"/>
    </row>
    <row r="98" spans="1:11" ht="13.15" customHeight="1" x14ac:dyDescent="0.25">
      <c r="A98" s="83">
        <v>4514000</v>
      </c>
      <c r="B98" s="84" t="s">
        <v>654</v>
      </c>
      <c r="C98" s="80">
        <v>45177</v>
      </c>
      <c r="D98" s="81"/>
      <c r="E98" s="81"/>
      <c r="F98" s="82" t="s">
        <v>596</v>
      </c>
      <c r="G98" s="82" t="s">
        <v>597</v>
      </c>
      <c r="H98" s="81"/>
      <c r="I98" s="83" t="s">
        <v>596</v>
      </c>
      <c r="J98" s="83" t="s">
        <v>596</v>
      </c>
      <c r="K98" s="84"/>
    </row>
    <row r="99" spans="1:11" ht="13.15" customHeight="1" x14ac:dyDescent="0.25">
      <c r="A99" s="83">
        <v>4514120</v>
      </c>
      <c r="B99" s="84" t="s">
        <v>655</v>
      </c>
      <c r="C99" s="80">
        <v>45177</v>
      </c>
      <c r="D99" s="81"/>
      <c r="E99" s="81"/>
      <c r="F99" s="82" t="s">
        <v>596</v>
      </c>
      <c r="G99" s="82" t="s">
        <v>597</v>
      </c>
      <c r="H99" s="81"/>
      <c r="I99" s="83" t="s">
        <v>596</v>
      </c>
      <c r="J99" s="83" t="s">
        <v>596</v>
      </c>
      <c r="K99" s="84"/>
    </row>
    <row r="100" spans="1:11" ht="13.15" customHeight="1" x14ac:dyDescent="0.25">
      <c r="A100" s="83">
        <v>4514121</v>
      </c>
      <c r="B100" s="84" t="s">
        <v>656</v>
      </c>
      <c r="C100" s="80">
        <v>45187</v>
      </c>
      <c r="D100" s="81"/>
      <c r="E100" s="81"/>
      <c r="F100" s="82" t="s">
        <v>596</v>
      </c>
      <c r="G100" s="82" t="s">
        <v>597</v>
      </c>
      <c r="H100" s="81"/>
      <c r="I100" s="83" t="s">
        <v>596</v>
      </c>
      <c r="J100" s="83" t="s">
        <v>596</v>
      </c>
      <c r="K100" s="84"/>
    </row>
    <row r="101" spans="1:11" ht="13.15" customHeight="1" x14ac:dyDescent="0.25">
      <c r="A101" s="83">
        <v>4514140</v>
      </c>
      <c r="B101" s="84" t="s">
        <v>657</v>
      </c>
      <c r="C101" s="80">
        <v>45177</v>
      </c>
      <c r="D101" s="81"/>
      <c r="E101" s="81"/>
      <c r="F101" s="82" t="s">
        <v>596</v>
      </c>
      <c r="G101" s="82" t="s">
        <v>597</v>
      </c>
      <c r="H101" s="81"/>
      <c r="I101" s="83" t="s">
        <v>596</v>
      </c>
      <c r="J101" s="83" t="s">
        <v>596</v>
      </c>
      <c r="K101" s="84"/>
    </row>
    <row r="102" spans="1:11" ht="13.15" customHeight="1" x14ac:dyDescent="0.25">
      <c r="A102" s="83">
        <v>4514160</v>
      </c>
      <c r="B102" s="84" t="s">
        <v>658</v>
      </c>
      <c r="C102" s="80">
        <v>45177</v>
      </c>
      <c r="D102" s="81"/>
      <c r="E102" s="81"/>
      <c r="F102" s="82" t="s">
        <v>596</v>
      </c>
      <c r="G102" s="82" t="s">
        <v>597</v>
      </c>
      <c r="H102" s="81"/>
      <c r="I102" s="83" t="s">
        <v>596</v>
      </c>
      <c r="J102" s="83" t="s">
        <v>596</v>
      </c>
      <c r="K102" s="84"/>
    </row>
    <row r="103" spans="1:11" ht="13.15" customHeight="1" x14ac:dyDescent="0.25">
      <c r="A103" s="83">
        <v>4514180</v>
      </c>
      <c r="B103" s="84" t="s">
        <v>659</v>
      </c>
      <c r="C103" s="80">
        <v>45177</v>
      </c>
      <c r="D103" s="81"/>
      <c r="E103" s="81"/>
      <c r="F103" s="82" t="s">
        <v>596</v>
      </c>
      <c r="G103" s="82" t="s">
        <v>597</v>
      </c>
      <c r="H103" s="81"/>
      <c r="I103" s="83" t="s">
        <v>596</v>
      </c>
      <c r="J103" s="83" t="s">
        <v>596</v>
      </c>
      <c r="K103" s="84"/>
    </row>
    <row r="104" spans="1:11" ht="13.15" customHeight="1" x14ac:dyDescent="0.25">
      <c r="A104" s="85">
        <v>4515000</v>
      </c>
      <c r="B104" s="86" t="s">
        <v>571</v>
      </c>
      <c r="C104" s="87">
        <v>41567</v>
      </c>
      <c r="D104" s="88"/>
      <c r="E104" s="88"/>
      <c r="F104" s="89" t="s">
        <v>596</v>
      </c>
      <c r="G104" s="89" t="s">
        <v>596</v>
      </c>
      <c r="H104" s="88"/>
      <c r="I104" s="85" t="s">
        <v>597</v>
      </c>
      <c r="J104" s="85" t="s">
        <v>597</v>
      </c>
      <c r="K104" s="86"/>
    </row>
    <row r="105" spans="1:11" ht="13.15" customHeight="1" x14ac:dyDescent="0.25">
      <c r="A105" s="83">
        <v>4515001</v>
      </c>
      <c r="B105" s="84" t="s">
        <v>497</v>
      </c>
      <c r="C105" s="80">
        <v>45811</v>
      </c>
      <c r="D105" s="81"/>
      <c r="E105" s="81"/>
      <c r="F105" s="82" t="s">
        <v>596</v>
      </c>
      <c r="G105" s="82" t="s">
        <v>597</v>
      </c>
      <c r="H105" s="81"/>
      <c r="I105" s="83" t="s">
        <v>596</v>
      </c>
      <c r="J105" s="83" t="s">
        <v>596</v>
      </c>
      <c r="K105" s="84"/>
    </row>
    <row r="106" spans="1:11" ht="13.15" customHeight="1" x14ac:dyDescent="0.25">
      <c r="A106" s="83">
        <v>4515010</v>
      </c>
      <c r="B106" s="84" t="s">
        <v>485</v>
      </c>
      <c r="C106" s="80">
        <v>41567</v>
      </c>
      <c r="D106" s="81"/>
      <c r="E106" s="81"/>
      <c r="F106" s="82" t="s">
        <v>596</v>
      </c>
      <c r="G106" s="82" t="s">
        <v>597</v>
      </c>
      <c r="H106" s="81"/>
      <c r="I106" s="83" t="s">
        <v>596</v>
      </c>
      <c r="J106" s="83" t="s">
        <v>596</v>
      </c>
      <c r="K106" s="84"/>
    </row>
    <row r="107" spans="1:11" ht="13.15" customHeight="1" x14ac:dyDescent="0.25">
      <c r="A107" s="83">
        <v>4515020</v>
      </c>
      <c r="B107" s="84" t="s">
        <v>504</v>
      </c>
      <c r="C107" s="80">
        <v>45811</v>
      </c>
      <c r="D107" s="81"/>
      <c r="E107" s="81"/>
      <c r="F107" s="82" t="s">
        <v>596</v>
      </c>
      <c r="G107" s="82" t="s">
        <v>597</v>
      </c>
      <c r="H107" s="81"/>
      <c r="I107" s="83" t="s">
        <v>596</v>
      </c>
      <c r="J107" s="83" t="s">
        <v>596</v>
      </c>
      <c r="K107" s="84"/>
    </row>
    <row r="108" spans="1:11" ht="13.15" customHeight="1" x14ac:dyDescent="0.25">
      <c r="A108" s="83">
        <v>4515030</v>
      </c>
      <c r="B108" s="84" t="s">
        <v>660</v>
      </c>
      <c r="C108" s="80">
        <v>45811</v>
      </c>
      <c r="D108" s="81"/>
      <c r="E108" s="81"/>
      <c r="F108" s="82" t="s">
        <v>596</v>
      </c>
      <c r="G108" s="82" t="s">
        <v>597</v>
      </c>
      <c r="H108" s="81"/>
      <c r="I108" s="83" t="s">
        <v>596</v>
      </c>
      <c r="J108" s="83" t="s">
        <v>596</v>
      </c>
      <c r="K108" s="84"/>
    </row>
    <row r="109" spans="1:11" ht="13.15" customHeight="1" x14ac:dyDescent="0.25">
      <c r="A109" s="83">
        <v>4515040</v>
      </c>
      <c r="B109" s="84" t="s">
        <v>661</v>
      </c>
      <c r="C109" s="80">
        <v>45811</v>
      </c>
      <c r="D109" s="81"/>
      <c r="E109" s="81"/>
      <c r="F109" s="82" t="s">
        <v>596</v>
      </c>
      <c r="G109" s="82" t="s">
        <v>597</v>
      </c>
      <c r="H109" s="81"/>
      <c r="I109" s="83" t="s">
        <v>596</v>
      </c>
      <c r="J109" s="83" t="s">
        <v>596</v>
      </c>
      <c r="K109" s="84"/>
    </row>
    <row r="110" spans="1:11" ht="13.15" customHeight="1" x14ac:dyDescent="0.25">
      <c r="A110" s="83">
        <v>4515100</v>
      </c>
      <c r="B110" s="84" t="s">
        <v>491</v>
      </c>
      <c r="C110" s="80">
        <v>41631</v>
      </c>
      <c r="D110" s="81"/>
      <c r="E110" s="81"/>
      <c r="F110" s="82" t="s">
        <v>596</v>
      </c>
      <c r="G110" s="82" t="s">
        <v>597</v>
      </c>
      <c r="H110" s="81"/>
      <c r="I110" s="83" t="s">
        <v>596</v>
      </c>
      <c r="J110" s="83" t="s">
        <v>596</v>
      </c>
      <c r="K110" s="84"/>
    </row>
    <row r="111" spans="1:11" ht="13.15" customHeight="1" x14ac:dyDescent="0.25">
      <c r="A111" s="83">
        <v>4515200</v>
      </c>
      <c r="B111" s="84" t="s">
        <v>662</v>
      </c>
      <c r="C111" s="80">
        <v>41632</v>
      </c>
      <c r="D111" s="81"/>
      <c r="E111" s="81"/>
      <c r="F111" s="82" t="s">
        <v>596</v>
      </c>
      <c r="G111" s="82" t="s">
        <v>597</v>
      </c>
      <c r="H111" s="81"/>
      <c r="I111" s="83" t="s">
        <v>596</v>
      </c>
      <c r="J111" s="83" t="s">
        <v>596</v>
      </c>
      <c r="K111" s="84"/>
    </row>
    <row r="112" spans="1:11" ht="13.15" customHeight="1" x14ac:dyDescent="0.25">
      <c r="A112" s="83">
        <v>4515300</v>
      </c>
      <c r="B112" s="84" t="s">
        <v>465</v>
      </c>
      <c r="C112" s="80">
        <v>41632</v>
      </c>
      <c r="D112" s="81"/>
      <c r="E112" s="81"/>
      <c r="F112" s="82" t="s">
        <v>596</v>
      </c>
      <c r="G112" s="82" t="s">
        <v>597</v>
      </c>
      <c r="H112" s="81"/>
      <c r="I112" s="83" t="s">
        <v>596</v>
      </c>
      <c r="J112" s="83" t="s">
        <v>596</v>
      </c>
      <c r="K112" s="84"/>
    </row>
    <row r="113" spans="1:11" ht="13.15" customHeight="1" x14ac:dyDescent="0.25">
      <c r="A113" s="83">
        <v>4515400</v>
      </c>
      <c r="B113" s="84" t="s">
        <v>233</v>
      </c>
      <c r="C113" s="80">
        <v>41632</v>
      </c>
      <c r="D113" s="81"/>
      <c r="E113" s="81"/>
      <c r="F113" s="82" t="s">
        <v>596</v>
      </c>
      <c r="G113" s="82" t="s">
        <v>597</v>
      </c>
      <c r="H113" s="81"/>
      <c r="I113" s="83" t="s">
        <v>596</v>
      </c>
      <c r="J113" s="83" t="s">
        <v>596</v>
      </c>
      <c r="K113" s="84"/>
    </row>
    <row r="114" spans="1:11" ht="13.15" customHeight="1" x14ac:dyDescent="0.25">
      <c r="A114" s="83">
        <v>4515500</v>
      </c>
      <c r="B114" s="84" t="s">
        <v>240</v>
      </c>
      <c r="C114" s="80">
        <v>41632</v>
      </c>
      <c r="D114" s="81"/>
      <c r="E114" s="81"/>
      <c r="F114" s="82" t="s">
        <v>596</v>
      </c>
      <c r="G114" s="82" t="s">
        <v>597</v>
      </c>
      <c r="H114" s="81"/>
      <c r="I114" s="83" t="s">
        <v>596</v>
      </c>
      <c r="J114" s="83" t="s">
        <v>596</v>
      </c>
      <c r="K114" s="84"/>
    </row>
    <row r="115" spans="1:11" ht="13.15" customHeight="1" x14ac:dyDescent="0.25">
      <c r="A115" s="83">
        <v>4515600</v>
      </c>
      <c r="B115" s="84" t="s">
        <v>663</v>
      </c>
      <c r="C115" s="80">
        <v>43859</v>
      </c>
      <c r="D115" s="81"/>
      <c r="E115" s="81"/>
      <c r="F115" s="82" t="s">
        <v>596</v>
      </c>
      <c r="G115" s="82" t="s">
        <v>597</v>
      </c>
      <c r="H115" s="81"/>
      <c r="I115" s="83" t="s">
        <v>596</v>
      </c>
      <c r="J115" s="83" t="s">
        <v>596</v>
      </c>
      <c r="K115" s="84"/>
    </row>
    <row r="116" spans="1:11" ht="13.15" customHeight="1" x14ac:dyDescent="0.25">
      <c r="A116" s="83">
        <v>4515700</v>
      </c>
      <c r="B116" s="84" t="s">
        <v>482</v>
      </c>
      <c r="C116" s="80">
        <v>44993</v>
      </c>
      <c r="D116" s="81"/>
      <c r="E116" s="81"/>
      <c r="F116" s="82" t="s">
        <v>596</v>
      </c>
      <c r="G116" s="82" t="s">
        <v>597</v>
      </c>
      <c r="H116" s="81"/>
      <c r="I116" s="83" t="s">
        <v>596</v>
      </c>
      <c r="J116" s="83" t="s">
        <v>596</v>
      </c>
      <c r="K116" s="84"/>
    </row>
    <row r="117" spans="1:11" ht="13.15" customHeight="1" x14ac:dyDescent="0.25">
      <c r="A117" s="83">
        <v>4515800</v>
      </c>
      <c r="B117" s="84" t="s">
        <v>492</v>
      </c>
      <c r="C117" s="80">
        <v>44993</v>
      </c>
      <c r="D117" s="81"/>
      <c r="E117" s="81"/>
      <c r="F117" s="82" t="s">
        <v>596</v>
      </c>
      <c r="G117" s="82" t="s">
        <v>597</v>
      </c>
      <c r="H117" s="81"/>
      <c r="I117" s="83" t="s">
        <v>596</v>
      </c>
      <c r="J117" s="83" t="s">
        <v>596</v>
      </c>
      <c r="K117" s="84"/>
    </row>
    <row r="118" spans="1:11" ht="13.15" customHeight="1" x14ac:dyDescent="0.25">
      <c r="A118" s="83">
        <v>4515900</v>
      </c>
      <c r="B118" s="84" t="s">
        <v>499</v>
      </c>
      <c r="C118" s="80">
        <v>45092</v>
      </c>
      <c r="D118" s="81"/>
      <c r="E118" s="81"/>
      <c r="F118" s="82" t="s">
        <v>596</v>
      </c>
      <c r="G118" s="82" t="s">
        <v>597</v>
      </c>
      <c r="H118" s="81"/>
      <c r="I118" s="83" t="s">
        <v>596</v>
      </c>
      <c r="J118" s="83" t="s">
        <v>596</v>
      </c>
      <c r="K118" s="84"/>
    </row>
    <row r="119" spans="1:11" ht="13.15" customHeight="1" x14ac:dyDescent="0.25">
      <c r="A119" s="85">
        <v>4516000</v>
      </c>
      <c r="B119" s="86" t="s">
        <v>664</v>
      </c>
      <c r="C119" s="87">
        <v>41567</v>
      </c>
      <c r="D119" s="88"/>
      <c r="E119" s="88"/>
      <c r="F119" s="89" t="s">
        <v>596</v>
      </c>
      <c r="G119" s="89" t="s">
        <v>596</v>
      </c>
      <c r="H119" s="88"/>
      <c r="I119" s="85" t="s">
        <v>597</v>
      </c>
      <c r="J119" s="85" t="s">
        <v>597</v>
      </c>
      <c r="K119" s="86"/>
    </row>
    <row r="120" spans="1:11" ht="13.15" customHeight="1" x14ac:dyDescent="0.25">
      <c r="A120" s="83">
        <v>4516010</v>
      </c>
      <c r="B120" s="84" t="s">
        <v>665</v>
      </c>
      <c r="C120" s="80">
        <v>41567</v>
      </c>
      <c r="D120" s="81"/>
      <c r="E120" s="81"/>
      <c r="F120" s="82" t="s">
        <v>596</v>
      </c>
      <c r="G120" s="82" t="s">
        <v>597</v>
      </c>
      <c r="H120" s="81"/>
      <c r="I120" s="83" t="s">
        <v>596</v>
      </c>
      <c r="J120" s="83" t="s">
        <v>596</v>
      </c>
      <c r="K120" s="84"/>
    </row>
    <row r="121" spans="1:11" ht="13.15" customHeight="1" x14ac:dyDescent="0.25">
      <c r="A121" s="83">
        <v>4516100</v>
      </c>
      <c r="B121" s="84" t="s">
        <v>316</v>
      </c>
      <c r="C121" s="80">
        <v>41631</v>
      </c>
      <c r="D121" s="81"/>
      <c r="E121" s="81"/>
      <c r="F121" s="82" t="s">
        <v>596</v>
      </c>
      <c r="G121" s="82" t="s">
        <v>597</v>
      </c>
      <c r="H121" s="81"/>
      <c r="I121" s="83" t="s">
        <v>596</v>
      </c>
      <c r="J121" s="83" t="s">
        <v>596</v>
      </c>
      <c r="K121" s="84"/>
    </row>
    <row r="122" spans="1:11" ht="13.15" customHeight="1" x14ac:dyDescent="0.25">
      <c r="A122" s="83">
        <v>4516150</v>
      </c>
      <c r="B122" s="84" t="s">
        <v>666</v>
      </c>
      <c r="C122" s="80">
        <v>41631</v>
      </c>
      <c r="D122" s="81"/>
      <c r="E122" s="81"/>
      <c r="F122" s="82" t="s">
        <v>596</v>
      </c>
      <c r="G122" s="82" t="s">
        <v>597</v>
      </c>
      <c r="H122" s="81"/>
      <c r="I122" s="83" t="s">
        <v>596</v>
      </c>
      <c r="J122" s="83" t="s">
        <v>596</v>
      </c>
      <c r="K122" s="84"/>
    </row>
    <row r="123" spans="1:11" ht="13.15" customHeight="1" x14ac:dyDescent="0.25">
      <c r="A123" s="83">
        <v>4516200</v>
      </c>
      <c r="B123" s="84" t="s">
        <v>667</v>
      </c>
      <c r="C123" s="80">
        <v>41631</v>
      </c>
      <c r="D123" s="81"/>
      <c r="E123" s="81"/>
      <c r="F123" s="82" t="s">
        <v>596</v>
      </c>
      <c r="G123" s="82" t="s">
        <v>597</v>
      </c>
      <c r="H123" s="81"/>
      <c r="I123" s="83" t="s">
        <v>596</v>
      </c>
      <c r="J123" s="83" t="s">
        <v>596</v>
      </c>
      <c r="K123" s="84"/>
    </row>
    <row r="124" spans="1:11" ht="13.15" customHeight="1" x14ac:dyDescent="0.25">
      <c r="A124" s="83">
        <v>4516300</v>
      </c>
      <c r="B124" s="84" t="s">
        <v>668</v>
      </c>
      <c r="C124" s="80">
        <v>41631</v>
      </c>
      <c r="D124" s="81"/>
      <c r="E124" s="81"/>
      <c r="F124" s="82" t="s">
        <v>596</v>
      </c>
      <c r="G124" s="82" t="s">
        <v>597</v>
      </c>
      <c r="H124" s="81"/>
      <c r="I124" s="83" t="s">
        <v>596</v>
      </c>
      <c r="J124" s="83" t="s">
        <v>596</v>
      </c>
      <c r="K124" s="84"/>
    </row>
    <row r="125" spans="1:11" ht="13.15" customHeight="1" x14ac:dyDescent="0.25">
      <c r="A125" s="85">
        <v>4517000</v>
      </c>
      <c r="B125" s="86" t="s">
        <v>669</v>
      </c>
      <c r="C125" s="87">
        <v>41714</v>
      </c>
      <c r="D125" s="88"/>
      <c r="E125" s="88"/>
      <c r="F125" s="89" t="s">
        <v>596</v>
      </c>
      <c r="G125" s="89" t="s">
        <v>596</v>
      </c>
      <c r="H125" s="88"/>
      <c r="I125" s="85" t="s">
        <v>597</v>
      </c>
      <c r="J125" s="85" t="s">
        <v>597</v>
      </c>
      <c r="K125" s="86"/>
    </row>
    <row r="126" spans="1:11" ht="13.15" customHeight="1" x14ac:dyDescent="0.25">
      <c r="A126" s="83">
        <v>4517010</v>
      </c>
      <c r="B126" s="84" t="s">
        <v>670</v>
      </c>
      <c r="C126" s="80">
        <v>41714</v>
      </c>
      <c r="D126" s="81"/>
      <c r="E126" s="81"/>
      <c r="F126" s="82" t="s">
        <v>596</v>
      </c>
      <c r="G126" s="82" t="s">
        <v>597</v>
      </c>
      <c r="H126" s="81"/>
      <c r="I126" s="83" t="s">
        <v>596</v>
      </c>
      <c r="J126" s="83" t="s">
        <v>596</v>
      </c>
      <c r="K126" s="84"/>
    </row>
    <row r="127" spans="1:11" ht="13.15" customHeight="1" x14ac:dyDescent="0.25">
      <c r="A127" s="83">
        <v>4517100</v>
      </c>
      <c r="B127" s="84" t="s">
        <v>671</v>
      </c>
      <c r="C127" s="80">
        <v>41714</v>
      </c>
      <c r="D127" s="81"/>
      <c r="E127" s="81"/>
      <c r="F127" s="82" t="s">
        <v>596</v>
      </c>
      <c r="G127" s="82" t="s">
        <v>597</v>
      </c>
      <c r="H127" s="81"/>
      <c r="I127" s="83" t="s">
        <v>596</v>
      </c>
      <c r="J127" s="83" t="s">
        <v>596</v>
      </c>
      <c r="K127" s="84"/>
    </row>
    <row r="128" spans="1:11" ht="13.15" customHeight="1" x14ac:dyDescent="0.25">
      <c r="A128" s="83">
        <v>4517150</v>
      </c>
      <c r="B128" s="84" t="s">
        <v>672</v>
      </c>
      <c r="C128" s="80">
        <v>41714</v>
      </c>
      <c r="D128" s="81"/>
      <c r="E128" s="81"/>
      <c r="F128" s="82" t="s">
        <v>596</v>
      </c>
      <c r="G128" s="82" t="s">
        <v>597</v>
      </c>
      <c r="H128" s="81"/>
      <c r="I128" s="83" t="s">
        <v>596</v>
      </c>
      <c r="J128" s="83" t="s">
        <v>596</v>
      </c>
      <c r="K128" s="84"/>
    </row>
    <row r="129" spans="1:11" ht="13.15" customHeight="1" x14ac:dyDescent="0.25">
      <c r="A129" s="83">
        <v>4517200</v>
      </c>
      <c r="B129" s="84" t="s">
        <v>673</v>
      </c>
      <c r="C129" s="80">
        <v>41714</v>
      </c>
      <c r="D129" s="81"/>
      <c r="E129" s="81"/>
      <c r="F129" s="82" t="s">
        <v>596</v>
      </c>
      <c r="G129" s="82" t="s">
        <v>597</v>
      </c>
      <c r="H129" s="81"/>
      <c r="I129" s="83" t="s">
        <v>596</v>
      </c>
      <c r="J129" s="83" t="s">
        <v>596</v>
      </c>
      <c r="K129" s="84"/>
    </row>
    <row r="130" spans="1:11" ht="13.15" customHeight="1" x14ac:dyDescent="0.25">
      <c r="A130" s="83">
        <v>4517250</v>
      </c>
      <c r="B130" s="84" t="s">
        <v>674</v>
      </c>
      <c r="C130" s="80">
        <v>41714</v>
      </c>
      <c r="D130" s="81"/>
      <c r="E130" s="81"/>
      <c r="F130" s="82" t="s">
        <v>596</v>
      </c>
      <c r="G130" s="82" t="s">
        <v>597</v>
      </c>
      <c r="H130" s="81"/>
      <c r="I130" s="83" t="s">
        <v>596</v>
      </c>
      <c r="J130" s="83" t="s">
        <v>596</v>
      </c>
      <c r="K130" s="84"/>
    </row>
    <row r="131" spans="1:11" ht="13.15" customHeight="1" x14ac:dyDescent="0.25">
      <c r="A131" s="85">
        <v>4518100</v>
      </c>
      <c r="B131" s="86" t="s">
        <v>675</v>
      </c>
      <c r="C131" s="87">
        <v>44769</v>
      </c>
      <c r="D131" s="88"/>
      <c r="E131" s="88"/>
      <c r="F131" s="89" t="s">
        <v>596</v>
      </c>
      <c r="G131" s="89" t="s">
        <v>596</v>
      </c>
      <c r="H131" s="88"/>
      <c r="I131" s="85" t="s">
        <v>596</v>
      </c>
      <c r="J131" s="85" t="s">
        <v>596</v>
      </c>
      <c r="K131" s="86"/>
    </row>
    <row r="132" spans="1:11" ht="13.15" customHeight="1" x14ac:dyDescent="0.25">
      <c r="A132" s="83">
        <v>4518101</v>
      </c>
      <c r="B132" s="84" t="s">
        <v>676</v>
      </c>
      <c r="C132" s="80">
        <v>44769</v>
      </c>
      <c r="D132" s="81"/>
      <c r="E132" s="81"/>
      <c r="F132" s="82" t="s">
        <v>596</v>
      </c>
      <c r="G132" s="82" t="s">
        <v>597</v>
      </c>
      <c r="H132" s="81"/>
      <c r="I132" s="83" t="s">
        <v>596</v>
      </c>
      <c r="J132" s="83" t="s">
        <v>596</v>
      </c>
      <c r="K132" s="84"/>
    </row>
    <row r="133" spans="1:11" ht="13.15" customHeight="1" x14ac:dyDescent="0.25">
      <c r="A133" s="83">
        <v>4518102</v>
      </c>
      <c r="B133" s="84" t="s">
        <v>677</v>
      </c>
      <c r="C133" s="80">
        <v>44769</v>
      </c>
      <c r="D133" s="81"/>
      <c r="E133" s="81"/>
      <c r="F133" s="82" t="s">
        <v>596</v>
      </c>
      <c r="G133" s="82" t="s">
        <v>597</v>
      </c>
      <c r="H133" s="81"/>
      <c r="I133" s="83" t="s">
        <v>596</v>
      </c>
      <c r="J133" s="83" t="s">
        <v>596</v>
      </c>
      <c r="K133" s="84"/>
    </row>
    <row r="134" spans="1:11" ht="13.15" customHeight="1" x14ac:dyDescent="0.25">
      <c r="A134" s="83">
        <v>4518103</v>
      </c>
      <c r="B134" s="84" t="s">
        <v>678</v>
      </c>
      <c r="C134" s="80">
        <v>44769</v>
      </c>
      <c r="D134" s="81"/>
      <c r="E134" s="81"/>
      <c r="F134" s="82" t="s">
        <v>596</v>
      </c>
      <c r="G134" s="82" t="s">
        <v>597</v>
      </c>
      <c r="H134" s="81"/>
      <c r="I134" s="83" t="s">
        <v>596</v>
      </c>
      <c r="J134" s="83" t="s">
        <v>596</v>
      </c>
      <c r="K134" s="84"/>
    </row>
    <row r="135" spans="1:11" ht="13.15" customHeight="1" x14ac:dyDescent="0.25">
      <c r="A135" s="83">
        <v>4518104</v>
      </c>
      <c r="B135" s="84" t="s">
        <v>679</v>
      </c>
      <c r="C135" s="80">
        <v>44769</v>
      </c>
      <c r="D135" s="81"/>
      <c r="E135" s="81"/>
      <c r="F135" s="82" t="s">
        <v>596</v>
      </c>
      <c r="G135" s="82" t="s">
        <v>597</v>
      </c>
      <c r="H135" s="81"/>
      <c r="I135" s="83" t="s">
        <v>596</v>
      </c>
      <c r="J135" s="83" t="s">
        <v>596</v>
      </c>
      <c r="K135" s="84"/>
    </row>
    <row r="136" spans="1:11" ht="13.15" customHeight="1" x14ac:dyDescent="0.25">
      <c r="A136" s="83">
        <v>4518110</v>
      </c>
      <c r="B136" s="84" t="s">
        <v>680</v>
      </c>
      <c r="C136" s="80">
        <v>44769</v>
      </c>
      <c r="D136" s="81"/>
      <c r="E136" s="81"/>
      <c r="F136" s="82" t="s">
        <v>596</v>
      </c>
      <c r="G136" s="82" t="s">
        <v>597</v>
      </c>
      <c r="H136" s="81"/>
      <c r="I136" s="83" t="s">
        <v>596</v>
      </c>
      <c r="J136" s="83" t="s">
        <v>596</v>
      </c>
      <c r="K136" s="84"/>
    </row>
    <row r="137" spans="1:11" ht="13.15" customHeight="1" x14ac:dyDescent="0.25">
      <c r="A137" s="83">
        <v>4518111</v>
      </c>
      <c r="B137" s="84" t="s">
        <v>681</v>
      </c>
      <c r="C137" s="80">
        <v>44769</v>
      </c>
      <c r="D137" s="81"/>
      <c r="E137" s="81"/>
      <c r="F137" s="82" t="s">
        <v>596</v>
      </c>
      <c r="G137" s="82" t="s">
        <v>597</v>
      </c>
      <c r="H137" s="81"/>
      <c r="I137" s="83" t="s">
        <v>596</v>
      </c>
      <c r="J137" s="83" t="s">
        <v>596</v>
      </c>
      <c r="K137" s="84"/>
    </row>
    <row r="138" spans="1:11" ht="13.15" customHeight="1" x14ac:dyDescent="0.25">
      <c r="A138" s="83">
        <v>4518112</v>
      </c>
      <c r="B138" s="84" t="s">
        <v>682</v>
      </c>
      <c r="C138" s="80">
        <v>44769</v>
      </c>
      <c r="D138" s="81"/>
      <c r="E138" s="81"/>
      <c r="F138" s="82" t="s">
        <v>596</v>
      </c>
      <c r="G138" s="82" t="s">
        <v>597</v>
      </c>
      <c r="H138" s="81"/>
      <c r="I138" s="83" t="s">
        <v>596</v>
      </c>
      <c r="J138" s="83" t="s">
        <v>596</v>
      </c>
      <c r="K138" s="84"/>
    </row>
    <row r="139" spans="1:11" ht="13.15" customHeight="1" x14ac:dyDescent="0.25">
      <c r="A139" s="83">
        <v>4518113</v>
      </c>
      <c r="B139" s="84" t="s">
        <v>417</v>
      </c>
      <c r="C139" s="80">
        <v>44769</v>
      </c>
      <c r="D139" s="81"/>
      <c r="E139" s="81"/>
      <c r="F139" s="82" t="s">
        <v>596</v>
      </c>
      <c r="G139" s="82" t="s">
        <v>597</v>
      </c>
      <c r="H139" s="81"/>
      <c r="I139" s="83" t="s">
        <v>596</v>
      </c>
      <c r="J139" s="83" t="s">
        <v>596</v>
      </c>
      <c r="K139" s="84"/>
    </row>
    <row r="140" spans="1:11" ht="13.15" customHeight="1" x14ac:dyDescent="0.25">
      <c r="A140" s="83">
        <v>4518114</v>
      </c>
      <c r="B140" s="84" t="s">
        <v>683</v>
      </c>
      <c r="C140" s="80">
        <v>44769</v>
      </c>
      <c r="D140" s="81"/>
      <c r="E140" s="81"/>
      <c r="F140" s="82" t="s">
        <v>596</v>
      </c>
      <c r="G140" s="82" t="s">
        <v>597</v>
      </c>
      <c r="H140" s="81"/>
      <c r="I140" s="83" t="s">
        <v>596</v>
      </c>
      <c r="J140" s="83" t="s">
        <v>596</v>
      </c>
      <c r="K140" s="84"/>
    </row>
    <row r="141" spans="1:11" ht="13.15" customHeight="1" x14ac:dyDescent="0.25">
      <c r="A141" s="83">
        <v>4518115</v>
      </c>
      <c r="B141" s="84" t="s">
        <v>684</v>
      </c>
      <c r="C141" s="80">
        <v>44769</v>
      </c>
      <c r="D141" s="81"/>
      <c r="E141" s="81"/>
      <c r="F141" s="82" t="s">
        <v>596</v>
      </c>
      <c r="G141" s="82" t="s">
        <v>597</v>
      </c>
      <c r="H141" s="81"/>
      <c r="I141" s="83" t="s">
        <v>596</v>
      </c>
      <c r="J141" s="83" t="s">
        <v>596</v>
      </c>
      <c r="K141" s="84"/>
    </row>
    <row r="142" spans="1:11" ht="13.15" customHeight="1" x14ac:dyDescent="0.25">
      <c r="A142" s="83">
        <v>4518910</v>
      </c>
      <c r="B142" s="84" t="s">
        <v>685</v>
      </c>
      <c r="C142" s="80">
        <v>40836</v>
      </c>
      <c r="D142" s="81"/>
      <c r="E142" s="81"/>
      <c r="F142" s="82" t="s">
        <v>597</v>
      </c>
      <c r="G142" s="82" t="s">
        <v>597</v>
      </c>
      <c r="H142" s="81"/>
      <c r="I142" s="83" t="s">
        <v>597</v>
      </c>
      <c r="J142" s="83" t="s">
        <v>597</v>
      </c>
      <c r="K142" s="84"/>
    </row>
    <row r="143" spans="1:11" ht="13.15" customHeight="1" x14ac:dyDescent="0.25">
      <c r="A143" s="83">
        <v>4519196</v>
      </c>
      <c r="B143" s="84" t="s">
        <v>286</v>
      </c>
      <c r="C143" s="80">
        <v>45098</v>
      </c>
      <c r="D143" s="81"/>
      <c r="E143" s="81"/>
      <c r="F143" s="82" t="s">
        <v>596</v>
      </c>
      <c r="G143" s="82" t="s">
        <v>597</v>
      </c>
      <c r="H143" s="81"/>
      <c r="I143" s="83" t="s">
        <v>596</v>
      </c>
      <c r="J143" s="83" t="s">
        <v>596</v>
      </c>
      <c r="K143" s="84"/>
    </row>
    <row r="144" spans="1:11" ht="13.15" customHeight="1" x14ac:dyDescent="0.25">
      <c r="A144" s="83">
        <v>4519197</v>
      </c>
      <c r="B144" s="84" t="s">
        <v>288</v>
      </c>
      <c r="C144" s="80">
        <v>45098</v>
      </c>
      <c r="D144" s="81"/>
      <c r="E144" s="81"/>
      <c r="F144" s="82" t="s">
        <v>596</v>
      </c>
      <c r="G144" s="82" t="s">
        <v>597</v>
      </c>
      <c r="H144" s="81"/>
      <c r="I144" s="83" t="s">
        <v>596</v>
      </c>
      <c r="J144" s="83" t="s">
        <v>596</v>
      </c>
      <c r="K144" s="84"/>
    </row>
    <row r="145" spans="1:11" ht="13.15" customHeight="1" x14ac:dyDescent="0.25">
      <c r="A145" s="83">
        <v>4519199</v>
      </c>
      <c r="B145" s="84" t="s">
        <v>290</v>
      </c>
      <c r="C145" s="80">
        <v>45098</v>
      </c>
      <c r="D145" s="81"/>
      <c r="E145" s="81"/>
      <c r="F145" s="82" t="s">
        <v>596</v>
      </c>
      <c r="G145" s="82" t="s">
        <v>597</v>
      </c>
      <c r="H145" s="81"/>
      <c r="I145" s="83" t="s">
        <v>596</v>
      </c>
      <c r="J145" s="83" t="s">
        <v>596</v>
      </c>
      <c r="K145" s="84"/>
    </row>
    <row r="146" spans="1:11" ht="13.15" customHeight="1" x14ac:dyDescent="0.25">
      <c r="A146" s="83">
        <v>4519200</v>
      </c>
      <c r="B146" s="84" t="s">
        <v>292</v>
      </c>
      <c r="C146" s="80">
        <v>45098</v>
      </c>
      <c r="D146" s="81"/>
      <c r="E146" s="81"/>
      <c r="F146" s="82" t="s">
        <v>596</v>
      </c>
      <c r="G146" s="82" t="s">
        <v>597</v>
      </c>
      <c r="H146" s="81"/>
      <c r="I146" s="83" t="s">
        <v>596</v>
      </c>
      <c r="J146" s="83" t="s">
        <v>596</v>
      </c>
      <c r="K146" s="84"/>
    </row>
    <row r="147" spans="1:11" ht="13.15" customHeight="1" x14ac:dyDescent="0.25">
      <c r="A147" s="83">
        <v>4519201</v>
      </c>
      <c r="B147" s="84" t="s">
        <v>294</v>
      </c>
      <c r="C147" s="80">
        <v>45098</v>
      </c>
      <c r="D147" s="81"/>
      <c r="E147" s="81"/>
      <c r="F147" s="82" t="s">
        <v>596</v>
      </c>
      <c r="G147" s="82" t="s">
        <v>597</v>
      </c>
      <c r="H147" s="81"/>
      <c r="I147" s="83" t="s">
        <v>596</v>
      </c>
      <c r="J147" s="83" t="s">
        <v>596</v>
      </c>
      <c r="K147" s="84"/>
    </row>
    <row r="148" spans="1:11" ht="13.15" customHeight="1" x14ac:dyDescent="0.25">
      <c r="A148" s="83">
        <v>4519202</v>
      </c>
      <c r="B148" s="84" t="s">
        <v>296</v>
      </c>
      <c r="C148" s="80">
        <v>45098</v>
      </c>
      <c r="D148" s="81"/>
      <c r="E148" s="81"/>
      <c r="F148" s="82" t="s">
        <v>596</v>
      </c>
      <c r="G148" s="82" t="s">
        <v>597</v>
      </c>
      <c r="H148" s="81"/>
      <c r="I148" s="83" t="s">
        <v>596</v>
      </c>
      <c r="J148" s="83" t="s">
        <v>596</v>
      </c>
      <c r="K148" s="84"/>
    </row>
    <row r="149" spans="1:11" ht="13.15" customHeight="1" x14ac:dyDescent="0.25">
      <c r="A149" s="83">
        <v>4519203</v>
      </c>
      <c r="B149" s="84" t="s">
        <v>298</v>
      </c>
      <c r="C149" s="80">
        <v>45098</v>
      </c>
      <c r="D149" s="81"/>
      <c r="E149" s="81"/>
      <c r="F149" s="82" t="s">
        <v>596</v>
      </c>
      <c r="G149" s="82" t="s">
        <v>597</v>
      </c>
      <c r="H149" s="81"/>
      <c r="I149" s="83" t="s">
        <v>596</v>
      </c>
      <c r="J149" s="83" t="s">
        <v>596</v>
      </c>
      <c r="K149" s="84"/>
    </row>
    <row r="150" spans="1:11" ht="13.15" customHeight="1" x14ac:dyDescent="0.25">
      <c r="A150" s="83">
        <v>4519810</v>
      </c>
      <c r="B150" s="84" t="s">
        <v>686</v>
      </c>
      <c r="C150" s="80">
        <v>43496</v>
      </c>
      <c r="D150" s="81"/>
      <c r="E150" s="81"/>
      <c r="F150" s="82" t="s">
        <v>596</v>
      </c>
      <c r="G150" s="82" t="s">
        <v>597</v>
      </c>
      <c r="H150" s="81"/>
      <c r="I150" s="83" t="s">
        <v>596</v>
      </c>
      <c r="J150" s="83" t="s">
        <v>596</v>
      </c>
      <c r="K150" s="84"/>
    </row>
    <row r="151" spans="1:11" ht="13.15" customHeight="1" x14ac:dyDescent="0.25">
      <c r="A151" s="83">
        <v>4519860</v>
      </c>
      <c r="B151" s="84" t="s">
        <v>687</v>
      </c>
      <c r="C151" s="80">
        <v>44426</v>
      </c>
      <c r="D151" s="81"/>
      <c r="E151" s="81"/>
      <c r="F151" s="82" t="s">
        <v>597</v>
      </c>
      <c r="G151" s="82" t="s">
        <v>597</v>
      </c>
      <c r="H151" s="81"/>
      <c r="I151" s="83" t="s">
        <v>596</v>
      </c>
      <c r="J151" s="83" t="s">
        <v>596</v>
      </c>
      <c r="K151" s="84"/>
    </row>
  </sheetData>
  <autoFilter ref="A6:M151" xr:uid="{6D3BCF1E-5F6A-41C2-8CE4-BCCE07C7A15D}"/>
  <mergeCells count="10">
    <mergeCell ref="A3:G3"/>
    <mergeCell ref="H3:I3"/>
    <mergeCell ref="J3:L3"/>
    <mergeCell ref="E4:F4"/>
    <mergeCell ref="A1:E1"/>
    <mergeCell ref="F1:I1"/>
    <mergeCell ref="J1:K1"/>
    <mergeCell ref="A2:G2"/>
    <mergeCell ref="H2:I2"/>
    <mergeCell ref="J2: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453B2-3E49-43F1-8DF5-303FF27B8B73}">
  <sheetPr codeName="Sheet9"/>
  <dimension ref="A1:L152"/>
  <sheetViews>
    <sheetView showGridLines="0" workbookViewId="0">
      <selection activeCell="B8" sqref="B8"/>
    </sheetView>
  </sheetViews>
  <sheetFormatPr defaultRowHeight="15" x14ac:dyDescent="0.25"/>
  <cols>
    <col min="1" max="1" width="8" bestFit="1" customWidth="1"/>
    <col min="2" max="2" width="76.7109375" customWidth="1"/>
    <col min="3" max="3" width="13.28515625" bestFit="1" customWidth="1"/>
    <col min="4" max="4" width="9.7109375" bestFit="1" customWidth="1"/>
    <col min="5" max="5" width="8.85546875" bestFit="1" customWidth="1"/>
    <col min="6" max="6" width="8.140625" bestFit="1" customWidth="1"/>
    <col min="7" max="7" width="6.85546875" bestFit="1" customWidth="1"/>
    <col min="8" max="8" width="12.7109375" bestFit="1" customWidth="1"/>
    <col min="9" max="9" width="15.5703125" bestFit="1" customWidth="1"/>
    <col min="10" max="10" width="15.28515625" bestFit="1" customWidth="1"/>
    <col min="11" max="11" width="12.85546875" bestFit="1" customWidth="1"/>
    <col min="12" max="12" width="15.42578125" bestFit="1" customWidth="1"/>
  </cols>
  <sheetData>
    <row r="1" spans="1:12" ht="13.9" customHeight="1" x14ac:dyDescent="0.25">
      <c r="A1" s="220" t="s">
        <v>577</v>
      </c>
      <c r="B1" s="220"/>
      <c r="C1" s="220"/>
      <c r="D1" s="220"/>
      <c r="E1" s="220"/>
      <c r="F1" s="221" t="s">
        <v>578</v>
      </c>
      <c r="G1" s="221"/>
      <c r="H1" s="221"/>
      <c r="I1" s="221"/>
      <c r="J1" s="221" t="s">
        <v>579</v>
      </c>
      <c r="K1" s="221"/>
      <c r="L1" s="77">
        <v>45930.381249999999</v>
      </c>
    </row>
    <row r="2" spans="1:12" ht="13.9" customHeight="1" x14ac:dyDescent="0.25">
      <c r="A2" s="220" t="s">
        <v>580</v>
      </c>
      <c r="B2" s="220"/>
      <c r="C2" s="220"/>
      <c r="D2" s="220"/>
      <c r="E2" s="220"/>
      <c r="F2" s="220"/>
      <c r="G2" s="220"/>
      <c r="H2" s="218"/>
      <c r="I2" s="218"/>
      <c r="J2" s="218"/>
      <c r="K2" s="218"/>
      <c r="L2" s="218"/>
    </row>
    <row r="3" spans="1:12" ht="13.9" customHeight="1" x14ac:dyDescent="0.25">
      <c r="A3" s="217" t="s">
        <v>581</v>
      </c>
      <c r="B3" s="217"/>
      <c r="C3" s="217"/>
      <c r="D3" s="217"/>
      <c r="E3" s="217"/>
      <c r="F3" s="217"/>
      <c r="G3" s="217"/>
      <c r="H3" s="218"/>
      <c r="I3" s="218"/>
      <c r="J3" s="219"/>
      <c r="K3" s="219"/>
      <c r="L3" s="219"/>
    </row>
    <row r="4" spans="1:12" ht="11.1" customHeight="1" x14ac:dyDescent="0.25">
      <c r="A4" s="78"/>
      <c r="B4" s="78"/>
      <c r="C4" s="78"/>
      <c r="D4" s="78"/>
      <c r="E4" s="219"/>
      <c r="F4" s="219"/>
      <c r="G4" s="78"/>
      <c r="H4" s="78"/>
      <c r="I4" s="78"/>
      <c r="J4" s="78"/>
      <c r="K4" s="78"/>
      <c r="L4" s="78"/>
    </row>
    <row r="6" spans="1:12" ht="13.15" customHeight="1" x14ac:dyDescent="0.25">
      <c r="A6" s="79" t="s">
        <v>582</v>
      </c>
      <c r="B6" s="79" t="s">
        <v>583</v>
      </c>
      <c r="C6" s="79" t="s">
        <v>584</v>
      </c>
      <c r="D6" s="79" t="s">
        <v>585</v>
      </c>
      <c r="E6" s="79" t="s">
        <v>586</v>
      </c>
      <c r="F6" s="79" t="s">
        <v>587</v>
      </c>
      <c r="G6" s="79" t="s">
        <v>588</v>
      </c>
      <c r="H6" s="79" t="s">
        <v>589</v>
      </c>
      <c r="I6" s="79" t="s">
        <v>590</v>
      </c>
      <c r="J6" s="79" t="s">
        <v>591</v>
      </c>
      <c r="K6" s="79" t="s">
        <v>592</v>
      </c>
    </row>
    <row r="7" spans="1:12" ht="13.15" customHeight="1" x14ac:dyDescent="0.25">
      <c r="A7" s="115">
        <v>4.51</v>
      </c>
      <c r="B7" s="116"/>
      <c r="C7" s="80">
        <v>43516</v>
      </c>
      <c r="D7" s="81"/>
      <c r="E7" s="117">
        <v>40179</v>
      </c>
      <c r="F7" s="82" t="s">
        <v>597</v>
      </c>
      <c r="G7" s="82" t="s">
        <v>597</v>
      </c>
      <c r="H7" s="81"/>
      <c r="I7" s="83" t="s">
        <v>597</v>
      </c>
      <c r="J7" s="83" t="s">
        <v>597</v>
      </c>
      <c r="K7" s="84"/>
    </row>
    <row r="8" spans="1:12" ht="13.15" customHeight="1" x14ac:dyDescent="0.25">
      <c r="A8" s="83">
        <v>4510000</v>
      </c>
      <c r="B8" s="84" t="s">
        <v>595</v>
      </c>
      <c r="C8" s="80">
        <v>40330</v>
      </c>
      <c r="D8" s="81"/>
      <c r="E8" s="81"/>
      <c r="F8" s="82" t="s">
        <v>596</v>
      </c>
      <c r="G8" s="82" t="s">
        <v>596</v>
      </c>
      <c r="H8" s="81"/>
      <c r="I8" s="83" t="s">
        <v>597</v>
      </c>
      <c r="J8" s="83" t="s">
        <v>597</v>
      </c>
      <c r="K8" s="84"/>
    </row>
    <row r="9" spans="1:12" ht="13.15" customHeight="1" x14ac:dyDescent="0.25">
      <c r="A9" s="83">
        <v>4510001</v>
      </c>
      <c r="B9" s="84" t="s">
        <v>598</v>
      </c>
      <c r="C9" s="80">
        <v>40282</v>
      </c>
      <c r="D9" s="81"/>
      <c r="E9" s="81"/>
      <c r="F9" s="82" t="s">
        <v>596</v>
      </c>
      <c r="G9" s="82" t="s">
        <v>597</v>
      </c>
      <c r="H9" s="81"/>
      <c r="I9" s="83" t="s">
        <v>596</v>
      </c>
      <c r="J9" s="83" t="s">
        <v>596</v>
      </c>
      <c r="K9" s="84"/>
    </row>
    <row r="10" spans="1:12" ht="13.15" customHeight="1" x14ac:dyDescent="0.25">
      <c r="A10" s="83">
        <v>4510011</v>
      </c>
      <c r="B10" s="84" t="s">
        <v>386</v>
      </c>
      <c r="C10" s="80">
        <v>45314</v>
      </c>
      <c r="D10" s="81"/>
      <c r="E10" s="81"/>
      <c r="F10" s="82" t="s">
        <v>596</v>
      </c>
      <c r="G10" s="82" t="s">
        <v>597</v>
      </c>
      <c r="H10" s="81"/>
      <c r="I10" s="83" t="s">
        <v>596</v>
      </c>
      <c r="J10" s="83" t="s">
        <v>596</v>
      </c>
      <c r="K10" s="84"/>
    </row>
    <row r="11" spans="1:12" ht="13.15" customHeight="1" x14ac:dyDescent="0.25">
      <c r="A11" s="83">
        <v>4510100</v>
      </c>
      <c r="B11" s="84" t="s">
        <v>599</v>
      </c>
      <c r="C11" s="80">
        <v>41557</v>
      </c>
      <c r="D11" s="81"/>
      <c r="E11" s="81"/>
      <c r="F11" s="82" t="s">
        <v>596</v>
      </c>
      <c r="G11" s="82" t="s">
        <v>596</v>
      </c>
      <c r="H11" s="81"/>
      <c r="I11" s="83" t="s">
        <v>597</v>
      </c>
      <c r="J11" s="83" t="s">
        <v>597</v>
      </c>
      <c r="K11" s="84"/>
    </row>
    <row r="12" spans="1:12" ht="13.15" customHeight="1" x14ac:dyDescent="0.25">
      <c r="A12" s="83">
        <v>4510110</v>
      </c>
      <c r="B12" s="84" t="s">
        <v>358</v>
      </c>
      <c r="C12" s="80">
        <v>41557</v>
      </c>
      <c r="D12" s="81"/>
      <c r="E12" s="81"/>
      <c r="F12" s="82" t="s">
        <v>596</v>
      </c>
      <c r="G12" s="82" t="s">
        <v>597</v>
      </c>
      <c r="H12" s="81"/>
      <c r="I12" s="83" t="s">
        <v>596</v>
      </c>
      <c r="J12" s="83" t="s">
        <v>596</v>
      </c>
      <c r="K12" s="84"/>
    </row>
    <row r="13" spans="1:12" ht="13.15" customHeight="1" x14ac:dyDescent="0.25">
      <c r="A13" s="83">
        <v>4510120</v>
      </c>
      <c r="B13" s="84" t="s">
        <v>600</v>
      </c>
      <c r="C13" s="80">
        <v>41557</v>
      </c>
      <c r="D13" s="81"/>
      <c r="E13" s="81"/>
      <c r="F13" s="82" t="s">
        <v>596</v>
      </c>
      <c r="G13" s="82" t="s">
        <v>597</v>
      </c>
      <c r="H13" s="81"/>
      <c r="I13" s="83" t="s">
        <v>596</v>
      </c>
      <c r="J13" s="83" t="s">
        <v>596</v>
      </c>
      <c r="K13" s="84"/>
    </row>
    <row r="14" spans="1:12" ht="13.15" customHeight="1" x14ac:dyDescent="0.25">
      <c r="A14" s="83">
        <v>4510121</v>
      </c>
      <c r="B14" s="84" t="s">
        <v>601</v>
      </c>
      <c r="C14" s="80">
        <v>43415</v>
      </c>
      <c r="D14" s="81"/>
      <c r="E14" s="81"/>
      <c r="F14" s="82" t="s">
        <v>596</v>
      </c>
      <c r="G14" s="82" t="s">
        <v>597</v>
      </c>
      <c r="H14" s="81"/>
      <c r="I14" s="83" t="s">
        <v>596</v>
      </c>
      <c r="J14" s="83" t="s">
        <v>596</v>
      </c>
      <c r="K14" s="84"/>
    </row>
    <row r="15" spans="1:12" ht="13.15" customHeight="1" x14ac:dyDescent="0.25">
      <c r="A15" s="83">
        <v>4510122</v>
      </c>
      <c r="B15" s="84" t="s">
        <v>602</v>
      </c>
      <c r="C15" s="80">
        <v>43415</v>
      </c>
      <c r="D15" s="81"/>
      <c r="E15" s="81"/>
      <c r="F15" s="82" t="s">
        <v>596</v>
      </c>
      <c r="G15" s="82" t="s">
        <v>597</v>
      </c>
      <c r="H15" s="81"/>
      <c r="I15" s="83" t="s">
        <v>596</v>
      </c>
      <c r="J15" s="83" t="s">
        <v>596</v>
      </c>
      <c r="K15" s="84"/>
    </row>
    <row r="16" spans="1:12" ht="13.15" customHeight="1" x14ac:dyDescent="0.25">
      <c r="A16" s="83">
        <v>4510123</v>
      </c>
      <c r="B16" s="84" t="s">
        <v>603</v>
      </c>
      <c r="C16" s="80">
        <v>43415</v>
      </c>
      <c r="D16" s="81"/>
      <c r="E16" s="81"/>
      <c r="F16" s="82" t="s">
        <v>596</v>
      </c>
      <c r="G16" s="82" t="s">
        <v>597</v>
      </c>
      <c r="H16" s="81"/>
      <c r="I16" s="83" t="s">
        <v>596</v>
      </c>
      <c r="J16" s="83" t="s">
        <v>596</v>
      </c>
      <c r="K16" s="84"/>
    </row>
    <row r="17" spans="1:11" ht="13.15" customHeight="1" x14ac:dyDescent="0.25">
      <c r="A17" s="83">
        <v>4510124</v>
      </c>
      <c r="B17" s="84" t="s">
        <v>604</v>
      </c>
      <c r="C17" s="80">
        <v>43415</v>
      </c>
      <c r="D17" s="81"/>
      <c r="E17" s="81"/>
      <c r="F17" s="82" t="s">
        <v>596</v>
      </c>
      <c r="G17" s="82" t="s">
        <v>597</v>
      </c>
      <c r="H17" s="81"/>
      <c r="I17" s="83" t="s">
        <v>596</v>
      </c>
      <c r="J17" s="83" t="s">
        <v>596</v>
      </c>
      <c r="K17" s="84"/>
    </row>
    <row r="18" spans="1:11" ht="13.15" customHeight="1" x14ac:dyDescent="0.25">
      <c r="A18" s="83">
        <v>4510125</v>
      </c>
      <c r="B18" s="84" t="s">
        <v>605</v>
      </c>
      <c r="C18" s="80">
        <v>43415</v>
      </c>
      <c r="D18" s="81"/>
      <c r="E18" s="81"/>
      <c r="F18" s="82" t="s">
        <v>596</v>
      </c>
      <c r="G18" s="82" t="s">
        <v>597</v>
      </c>
      <c r="H18" s="81"/>
      <c r="I18" s="83" t="s">
        <v>596</v>
      </c>
      <c r="J18" s="83" t="s">
        <v>596</v>
      </c>
      <c r="K18" s="84"/>
    </row>
    <row r="19" spans="1:11" ht="13.15" customHeight="1" x14ac:dyDescent="0.25">
      <c r="A19" s="83">
        <v>4510126</v>
      </c>
      <c r="B19" s="84" t="s">
        <v>606</v>
      </c>
      <c r="C19" s="80">
        <v>43415</v>
      </c>
      <c r="D19" s="81"/>
      <c r="E19" s="81"/>
      <c r="F19" s="82" t="s">
        <v>596</v>
      </c>
      <c r="G19" s="82" t="s">
        <v>597</v>
      </c>
      <c r="H19" s="81"/>
      <c r="I19" s="83" t="s">
        <v>596</v>
      </c>
      <c r="J19" s="83" t="s">
        <v>596</v>
      </c>
      <c r="K19" s="84"/>
    </row>
    <row r="20" spans="1:11" ht="13.15" customHeight="1" x14ac:dyDescent="0.25">
      <c r="A20" s="83">
        <v>4510127</v>
      </c>
      <c r="B20" s="84" t="s">
        <v>607</v>
      </c>
      <c r="C20" s="80">
        <v>43415</v>
      </c>
      <c r="D20" s="81"/>
      <c r="E20" s="81"/>
      <c r="F20" s="82" t="s">
        <v>596</v>
      </c>
      <c r="G20" s="82" t="s">
        <v>597</v>
      </c>
      <c r="H20" s="81"/>
      <c r="I20" s="83" t="s">
        <v>596</v>
      </c>
      <c r="J20" s="83" t="s">
        <v>596</v>
      </c>
      <c r="K20" s="84"/>
    </row>
    <row r="21" spans="1:11" ht="13.15" customHeight="1" x14ac:dyDescent="0.25">
      <c r="A21" s="83">
        <v>4510130</v>
      </c>
      <c r="B21" s="84" t="s">
        <v>608</v>
      </c>
      <c r="C21" s="80">
        <v>41557</v>
      </c>
      <c r="D21" s="81"/>
      <c r="E21" s="81"/>
      <c r="F21" s="82" t="s">
        <v>596</v>
      </c>
      <c r="G21" s="82" t="s">
        <v>597</v>
      </c>
      <c r="H21" s="81"/>
      <c r="I21" s="83" t="s">
        <v>596</v>
      </c>
      <c r="J21" s="83" t="s">
        <v>596</v>
      </c>
      <c r="K21" s="84"/>
    </row>
    <row r="22" spans="1:11" ht="13.15" customHeight="1" x14ac:dyDescent="0.25">
      <c r="A22" s="83">
        <v>4510140</v>
      </c>
      <c r="B22" s="84" t="s">
        <v>367</v>
      </c>
      <c r="C22" s="80">
        <v>41557</v>
      </c>
      <c r="D22" s="81"/>
      <c r="E22" s="81"/>
      <c r="F22" s="82" t="s">
        <v>596</v>
      </c>
      <c r="G22" s="82" t="s">
        <v>597</v>
      </c>
      <c r="H22" s="81"/>
      <c r="I22" s="83" t="s">
        <v>596</v>
      </c>
      <c r="J22" s="83" t="s">
        <v>596</v>
      </c>
      <c r="K22" s="84"/>
    </row>
    <row r="23" spans="1:11" ht="13.15" customHeight="1" x14ac:dyDescent="0.25">
      <c r="A23" s="83">
        <v>4510142</v>
      </c>
      <c r="B23" s="84" t="s">
        <v>609</v>
      </c>
      <c r="C23" s="80">
        <v>45806</v>
      </c>
      <c r="D23" s="81"/>
      <c r="E23" s="81"/>
      <c r="F23" s="82" t="s">
        <v>596</v>
      </c>
      <c r="G23" s="82" t="s">
        <v>597</v>
      </c>
      <c r="H23" s="81"/>
      <c r="I23" s="83" t="s">
        <v>596</v>
      </c>
      <c r="J23" s="83" t="s">
        <v>596</v>
      </c>
      <c r="K23" s="84"/>
    </row>
    <row r="24" spans="1:11" ht="13.15" customHeight="1" x14ac:dyDescent="0.25">
      <c r="A24" s="83">
        <v>4510150</v>
      </c>
      <c r="B24" s="84" t="s">
        <v>372</v>
      </c>
      <c r="C24" s="80">
        <v>41557</v>
      </c>
      <c r="D24" s="81"/>
      <c r="E24" s="81"/>
      <c r="F24" s="82" t="s">
        <v>596</v>
      </c>
      <c r="G24" s="82" t="s">
        <v>597</v>
      </c>
      <c r="H24" s="81"/>
      <c r="I24" s="83" t="s">
        <v>596</v>
      </c>
      <c r="J24" s="83" t="s">
        <v>596</v>
      </c>
      <c r="K24" s="84"/>
    </row>
    <row r="25" spans="1:11" ht="13.15" customHeight="1" x14ac:dyDescent="0.25">
      <c r="A25" s="83">
        <v>4510155</v>
      </c>
      <c r="B25" s="84" t="s">
        <v>379</v>
      </c>
      <c r="C25" s="80">
        <v>43937</v>
      </c>
      <c r="D25" s="81"/>
      <c r="E25" s="81"/>
      <c r="F25" s="82" t="s">
        <v>596</v>
      </c>
      <c r="G25" s="82" t="s">
        <v>597</v>
      </c>
      <c r="H25" s="81"/>
      <c r="I25" s="83" t="s">
        <v>596</v>
      </c>
      <c r="J25" s="83" t="s">
        <v>596</v>
      </c>
      <c r="K25" s="84"/>
    </row>
    <row r="26" spans="1:11" ht="13.15" customHeight="1" x14ac:dyDescent="0.25">
      <c r="A26" s="83">
        <v>4510160</v>
      </c>
      <c r="B26" s="84" t="s">
        <v>382</v>
      </c>
      <c r="C26" s="80">
        <v>41557</v>
      </c>
      <c r="D26" s="81"/>
      <c r="E26" s="81"/>
      <c r="F26" s="82" t="s">
        <v>596</v>
      </c>
      <c r="G26" s="82" t="s">
        <v>597</v>
      </c>
      <c r="H26" s="81"/>
      <c r="I26" s="83" t="s">
        <v>596</v>
      </c>
      <c r="J26" s="83" t="s">
        <v>596</v>
      </c>
      <c r="K26" s="84"/>
    </row>
    <row r="27" spans="1:11" ht="13.15" customHeight="1" x14ac:dyDescent="0.25">
      <c r="A27" s="83">
        <v>4510170</v>
      </c>
      <c r="B27" s="84" t="s">
        <v>462</v>
      </c>
      <c r="C27" s="80">
        <v>42325</v>
      </c>
      <c r="D27" s="81"/>
      <c r="E27" s="81"/>
      <c r="F27" s="82" t="s">
        <v>596</v>
      </c>
      <c r="G27" s="82" t="s">
        <v>597</v>
      </c>
      <c r="H27" s="81"/>
      <c r="I27" s="83" t="s">
        <v>596</v>
      </c>
      <c r="J27" s="83" t="s">
        <v>596</v>
      </c>
      <c r="K27" s="84"/>
    </row>
    <row r="28" spans="1:11" ht="13.15" customHeight="1" x14ac:dyDescent="0.25">
      <c r="A28" s="83">
        <v>4510175</v>
      </c>
      <c r="B28" s="84" t="s">
        <v>610</v>
      </c>
      <c r="C28" s="80">
        <v>43859</v>
      </c>
      <c r="D28" s="81"/>
      <c r="E28" s="81"/>
      <c r="F28" s="82" t="s">
        <v>596</v>
      </c>
      <c r="G28" s="82" t="s">
        <v>597</v>
      </c>
      <c r="H28" s="81"/>
      <c r="I28" s="83" t="s">
        <v>596</v>
      </c>
      <c r="J28" s="83" t="s">
        <v>596</v>
      </c>
      <c r="K28" s="84"/>
    </row>
    <row r="29" spans="1:11" ht="13.15" customHeight="1" x14ac:dyDescent="0.25">
      <c r="A29" s="83">
        <v>4510180</v>
      </c>
      <c r="B29" s="84" t="s">
        <v>611</v>
      </c>
      <c r="C29" s="80">
        <v>43859</v>
      </c>
      <c r="D29" s="81"/>
      <c r="E29" s="81"/>
      <c r="F29" s="82" t="s">
        <v>596</v>
      </c>
      <c r="G29" s="82" t="s">
        <v>597</v>
      </c>
      <c r="H29" s="81"/>
      <c r="I29" s="83" t="s">
        <v>596</v>
      </c>
      <c r="J29" s="83" t="s">
        <v>596</v>
      </c>
      <c r="K29" s="84"/>
    </row>
    <row r="30" spans="1:11" ht="13.15" customHeight="1" x14ac:dyDescent="0.25">
      <c r="A30" s="83">
        <v>4510181</v>
      </c>
      <c r="B30" s="84" t="s">
        <v>612</v>
      </c>
      <c r="C30" s="80">
        <v>44712</v>
      </c>
      <c r="D30" s="81"/>
      <c r="E30" s="81"/>
      <c r="F30" s="82" t="s">
        <v>596</v>
      </c>
      <c r="G30" s="82" t="s">
        <v>597</v>
      </c>
      <c r="H30" s="81"/>
      <c r="I30" s="83" t="s">
        <v>596</v>
      </c>
      <c r="J30" s="83" t="s">
        <v>596</v>
      </c>
      <c r="K30" s="84"/>
    </row>
    <row r="31" spans="1:11" ht="13.15" customHeight="1" x14ac:dyDescent="0.25">
      <c r="A31" s="83">
        <v>4510182</v>
      </c>
      <c r="B31" s="84" t="s">
        <v>613</v>
      </c>
      <c r="C31" s="80">
        <v>44712</v>
      </c>
      <c r="D31" s="81"/>
      <c r="E31" s="81"/>
      <c r="F31" s="82" t="s">
        <v>596</v>
      </c>
      <c r="G31" s="82" t="s">
        <v>597</v>
      </c>
      <c r="H31" s="81"/>
      <c r="I31" s="83" t="s">
        <v>596</v>
      </c>
      <c r="J31" s="83" t="s">
        <v>596</v>
      </c>
      <c r="K31" s="84"/>
    </row>
    <row r="32" spans="1:11" ht="13.15" customHeight="1" x14ac:dyDescent="0.25">
      <c r="A32" s="83">
        <v>4510183</v>
      </c>
      <c r="B32" s="84" t="s">
        <v>614</v>
      </c>
      <c r="C32" s="80">
        <v>44712</v>
      </c>
      <c r="D32" s="81"/>
      <c r="E32" s="81"/>
      <c r="F32" s="82" t="s">
        <v>596</v>
      </c>
      <c r="G32" s="82" t="s">
        <v>597</v>
      </c>
      <c r="H32" s="81"/>
      <c r="I32" s="83" t="s">
        <v>596</v>
      </c>
      <c r="J32" s="83" t="s">
        <v>596</v>
      </c>
      <c r="K32" s="84"/>
    </row>
    <row r="33" spans="1:11" ht="13.15" customHeight="1" x14ac:dyDescent="0.25">
      <c r="A33" s="83">
        <v>4510184</v>
      </c>
      <c r="B33" s="84" t="s">
        <v>615</v>
      </c>
      <c r="C33" s="80">
        <v>44712</v>
      </c>
      <c r="D33" s="81"/>
      <c r="E33" s="81"/>
      <c r="F33" s="82" t="s">
        <v>596</v>
      </c>
      <c r="G33" s="82" t="s">
        <v>597</v>
      </c>
      <c r="H33" s="81"/>
      <c r="I33" s="83" t="s">
        <v>596</v>
      </c>
      <c r="J33" s="83" t="s">
        <v>596</v>
      </c>
      <c r="K33" s="84"/>
    </row>
    <row r="34" spans="1:11" ht="13.15" customHeight="1" x14ac:dyDescent="0.25">
      <c r="A34" s="83">
        <v>4510185</v>
      </c>
      <c r="B34" s="84" t="s">
        <v>616</v>
      </c>
      <c r="C34" s="80">
        <v>44712</v>
      </c>
      <c r="D34" s="81"/>
      <c r="E34" s="81"/>
      <c r="F34" s="82" t="s">
        <v>596</v>
      </c>
      <c r="G34" s="82" t="s">
        <v>597</v>
      </c>
      <c r="H34" s="81"/>
      <c r="I34" s="83" t="s">
        <v>596</v>
      </c>
      <c r="J34" s="83" t="s">
        <v>596</v>
      </c>
      <c r="K34" s="84"/>
    </row>
    <row r="35" spans="1:11" ht="13.15" customHeight="1" x14ac:dyDescent="0.25">
      <c r="A35" s="83">
        <v>4510186</v>
      </c>
      <c r="B35" s="84" t="s">
        <v>617</v>
      </c>
      <c r="C35" s="80">
        <v>44712</v>
      </c>
      <c r="D35" s="81"/>
      <c r="E35" s="81"/>
      <c r="F35" s="82" t="s">
        <v>596</v>
      </c>
      <c r="G35" s="82" t="s">
        <v>597</v>
      </c>
      <c r="H35" s="81"/>
      <c r="I35" s="83" t="s">
        <v>596</v>
      </c>
      <c r="J35" s="83" t="s">
        <v>596</v>
      </c>
      <c r="K35" s="84"/>
    </row>
    <row r="36" spans="1:11" ht="13.15" customHeight="1" x14ac:dyDescent="0.25">
      <c r="A36" s="83">
        <v>4510190</v>
      </c>
      <c r="B36" s="84" t="s">
        <v>618</v>
      </c>
      <c r="C36" s="80">
        <v>43859</v>
      </c>
      <c r="D36" s="81"/>
      <c r="E36" s="81"/>
      <c r="F36" s="82" t="s">
        <v>596</v>
      </c>
      <c r="G36" s="82" t="s">
        <v>597</v>
      </c>
      <c r="H36" s="81"/>
      <c r="I36" s="83" t="s">
        <v>596</v>
      </c>
      <c r="J36" s="83" t="s">
        <v>596</v>
      </c>
      <c r="K36" s="84"/>
    </row>
    <row r="37" spans="1:11" ht="13.15" customHeight="1" x14ac:dyDescent="0.25">
      <c r="A37" s="83">
        <v>4510195</v>
      </c>
      <c r="B37" s="84" t="s">
        <v>278</v>
      </c>
      <c r="C37" s="80">
        <v>44241</v>
      </c>
      <c r="D37" s="81"/>
      <c r="E37" s="81"/>
      <c r="F37" s="82" t="s">
        <v>596</v>
      </c>
      <c r="G37" s="82" t="s">
        <v>597</v>
      </c>
      <c r="H37" s="81"/>
      <c r="I37" s="83" t="s">
        <v>596</v>
      </c>
      <c r="J37" s="83" t="s">
        <v>596</v>
      </c>
      <c r="K37" s="84"/>
    </row>
    <row r="38" spans="1:11" ht="13.15" customHeight="1" x14ac:dyDescent="0.25">
      <c r="A38" s="83">
        <v>4510200</v>
      </c>
      <c r="B38" s="84" t="s">
        <v>619</v>
      </c>
      <c r="C38" s="80">
        <v>41557</v>
      </c>
      <c r="D38" s="81"/>
      <c r="E38" s="81"/>
      <c r="F38" s="82" t="s">
        <v>596</v>
      </c>
      <c r="G38" s="82" t="s">
        <v>596</v>
      </c>
      <c r="H38" s="81"/>
      <c r="I38" s="83" t="s">
        <v>597</v>
      </c>
      <c r="J38" s="83" t="s">
        <v>597</v>
      </c>
      <c r="K38" s="84"/>
    </row>
    <row r="39" spans="1:11" ht="13.15" customHeight="1" x14ac:dyDescent="0.25">
      <c r="A39" s="83">
        <v>4510201</v>
      </c>
      <c r="B39" s="84" t="s">
        <v>441</v>
      </c>
      <c r="C39" s="80">
        <v>41567</v>
      </c>
      <c r="D39" s="81"/>
      <c r="E39" s="81"/>
      <c r="F39" s="82" t="s">
        <v>596</v>
      </c>
      <c r="G39" s="82" t="s">
        <v>597</v>
      </c>
      <c r="H39" s="81"/>
      <c r="I39" s="83" t="s">
        <v>596</v>
      </c>
      <c r="J39" s="83" t="s">
        <v>596</v>
      </c>
      <c r="K39" s="84"/>
    </row>
    <row r="40" spans="1:11" ht="13.15" customHeight="1" x14ac:dyDescent="0.25">
      <c r="A40" s="83">
        <v>4510202</v>
      </c>
      <c r="B40" s="84" t="s">
        <v>565</v>
      </c>
      <c r="C40" s="80">
        <v>45120</v>
      </c>
      <c r="D40" s="81"/>
      <c r="E40" s="81"/>
      <c r="F40" s="82" t="s">
        <v>596</v>
      </c>
      <c r="G40" s="82" t="s">
        <v>597</v>
      </c>
      <c r="H40" s="81"/>
      <c r="I40" s="83" t="s">
        <v>596</v>
      </c>
      <c r="J40" s="83" t="s">
        <v>596</v>
      </c>
      <c r="K40" s="84"/>
    </row>
    <row r="41" spans="1:11" ht="13.15" customHeight="1" x14ac:dyDescent="0.25">
      <c r="A41" s="83">
        <v>4510210</v>
      </c>
      <c r="B41" s="84" t="s">
        <v>447</v>
      </c>
      <c r="C41" s="80">
        <v>40282</v>
      </c>
      <c r="D41" s="81"/>
      <c r="E41" s="81"/>
      <c r="F41" s="82" t="s">
        <v>596</v>
      </c>
      <c r="G41" s="82" t="s">
        <v>597</v>
      </c>
      <c r="H41" s="81"/>
      <c r="I41" s="83" t="s">
        <v>596</v>
      </c>
      <c r="J41" s="83" t="s">
        <v>596</v>
      </c>
      <c r="K41" s="84"/>
    </row>
    <row r="42" spans="1:11" ht="13.15" customHeight="1" x14ac:dyDescent="0.25">
      <c r="A42" s="83">
        <v>4510220</v>
      </c>
      <c r="B42" s="84" t="s">
        <v>450</v>
      </c>
      <c r="C42" s="80">
        <v>41557</v>
      </c>
      <c r="D42" s="81"/>
      <c r="E42" s="81"/>
      <c r="F42" s="82" t="s">
        <v>596</v>
      </c>
      <c r="G42" s="82" t="s">
        <v>597</v>
      </c>
      <c r="H42" s="81"/>
      <c r="I42" s="83" t="s">
        <v>596</v>
      </c>
      <c r="J42" s="83" t="s">
        <v>596</v>
      </c>
      <c r="K42" s="84"/>
    </row>
    <row r="43" spans="1:11" ht="13.15" customHeight="1" x14ac:dyDescent="0.25">
      <c r="A43" s="83">
        <v>4510230</v>
      </c>
      <c r="B43" s="84" t="s">
        <v>214</v>
      </c>
      <c r="C43" s="80">
        <v>41557</v>
      </c>
      <c r="D43" s="81"/>
      <c r="E43" s="81"/>
      <c r="F43" s="82" t="s">
        <v>596</v>
      </c>
      <c r="G43" s="82" t="s">
        <v>597</v>
      </c>
      <c r="H43" s="81"/>
      <c r="I43" s="83" t="s">
        <v>596</v>
      </c>
      <c r="J43" s="83" t="s">
        <v>596</v>
      </c>
      <c r="K43" s="84"/>
    </row>
    <row r="44" spans="1:11" ht="13.15" customHeight="1" x14ac:dyDescent="0.25">
      <c r="A44" s="83">
        <v>4510240</v>
      </c>
      <c r="B44" s="84" t="s">
        <v>452</v>
      </c>
      <c r="C44" s="80">
        <v>41557</v>
      </c>
      <c r="D44" s="81"/>
      <c r="E44" s="81"/>
      <c r="F44" s="82" t="s">
        <v>596</v>
      </c>
      <c r="G44" s="82" t="s">
        <v>597</v>
      </c>
      <c r="H44" s="81"/>
      <c r="I44" s="83" t="s">
        <v>596</v>
      </c>
      <c r="J44" s="83" t="s">
        <v>596</v>
      </c>
      <c r="K44" s="84"/>
    </row>
    <row r="45" spans="1:11" ht="13.15" customHeight="1" x14ac:dyDescent="0.25">
      <c r="A45" s="83">
        <v>4510250</v>
      </c>
      <c r="B45" s="84" t="s">
        <v>456</v>
      </c>
      <c r="C45" s="80">
        <v>41557</v>
      </c>
      <c r="D45" s="81"/>
      <c r="E45" s="81"/>
      <c r="F45" s="82" t="s">
        <v>596</v>
      </c>
      <c r="G45" s="82" t="s">
        <v>597</v>
      </c>
      <c r="H45" s="81"/>
      <c r="I45" s="83" t="s">
        <v>596</v>
      </c>
      <c r="J45" s="83" t="s">
        <v>596</v>
      </c>
      <c r="K45" s="84"/>
    </row>
    <row r="46" spans="1:11" ht="13.15" customHeight="1" x14ac:dyDescent="0.25">
      <c r="A46" s="83">
        <v>4510260</v>
      </c>
      <c r="B46" s="84" t="s">
        <v>620</v>
      </c>
      <c r="C46" s="80">
        <v>42871</v>
      </c>
      <c r="D46" s="81"/>
      <c r="E46" s="81"/>
      <c r="F46" s="82" t="s">
        <v>596</v>
      </c>
      <c r="G46" s="82" t="s">
        <v>597</v>
      </c>
      <c r="H46" s="81"/>
      <c r="I46" s="83" t="s">
        <v>596</v>
      </c>
      <c r="J46" s="83" t="s">
        <v>596</v>
      </c>
      <c r="K46" s="84"/>
    </row>
    <row r="47" spans="1:11" ht="13.15" customHeight="1" x14ac:dyDescent="0.25">
      <c r="A47" s="83">
        <v>4510270</v>
      </c>
      <c r="B47" s="84" t="s">
        <v>621</v>
      </c>
      <c r="C47" s="80">
        <v>43129</v>
      </c>
      <c r="D47" s="81"/>
      <c r="E47" s="81"/>
      <c r="F47" s="82" t="s">
        <v>596</v>
      </c>
      <c r="G47" s="82" t="s">
        <v>597</v>
      </c>
      <c r="H47" s="81"/>
      <c r="I47" s="83" t="s">
        <v>596</v>
      </c>
      <c r="J47" s="83" t="s">
        <v>596</v>
      </c>
      <c r="K47" s="84"/>
    </row>
    <row r="48" spans="1:11" ht="13.15" customHeight="1" x14ac:dyDescent="0.25">
      <c r="A48" s="83">
        <v>4510310</v>
      </c>
      <c r="B48" s="84" t="s">
        <v>622</v>
      </c>
      <c r="C48" s="80">
        <v>45033</v>
      </c>
      <c r="D48" s="81"/>
      <c r="E48" s="81"/>
      <c r="F48" s="82" t="s">
        <v>596</v>
      </c>
      <c r="G48" s="82" t="s">
        <v>597</v>
      </c>
      <c r="H48" s="81"/>
      <c r="I48" s="83" t="s">
        <v>596</v>
      </c>
      <c r="J48" s="83" t="s">
        <v>596</v>
      </c>
      <c r="K48" s="84"/>
    </row>
    <row r="49" spans="1:11" ht="13.15" customHeight="1" x14ac:dyDescent="0.25">
      <c r="A49" s="83">
        <v>4510311</v>
      </c>
      <c r="B49" s="84" t="s">
        <v>623</v>
      </c>
      <c r="C49" s="80">
        <v>45890</v>
      </c>
      <c r="D49" s="81"/>
      <c r="E49" s="81"/>
      <c r="F49" s="82" t="s">
        <v>596</v>
      </c>
      <c r="G49" s="82" t="s">
        <v>597</v>
      </c>
      <c r="H49" s="81"/>
      <c r="I49" s="83" t="s">
        <v>596</v>
      </c>
      <c r="J49" s="83" t="s">
        <v>596</v>
      </c>
      <c r="K49" s="84"/>
    </row>
    <row r="50" spans="1:11" ht="13.15" customHeight="1" x14ac:dyDescent="0.25">
      <c r="A50" s="83">
        <v>4510320</v>
      </c>
      <c r="B50" s="84" t="s">
        <v>624</v>
      </c>
      <c r="C50" s="80">
        <v>45890</v>
      </c>
      <c r="D50" s="81"/>
      <c r="E50" s="81"/>
      <c r="F50" s="82" t="s">
        <v>596</v>
      </c>
      <c r="G50" s="82" t="s">
        <v>596</v>
      </c>
      <c r="H50" s="81"/>
      <c r="I50" s="83" t="s">
        <v>596</v>
      </c>
      <c r="J50" s="83" t="s">
        <v>596</v>
      </c>
      <c r="K50" s="84"/>
    </row>
    <row r="51" spans="1:11" ht="13.15" customHeight="1" x14ac:dyDescent="0.25">
      <c r="A51" s="83">
        <v>4510321</v>
      </c>
      <c r="B51" s="84" t="s">
        <v>625</v>
      </c>
      <c r="C51" s="80">
        <v>45890</v>
      </c>
      <c r="D51" s="81"/>
      <c r="E51" s="81"/>
      <c r="F51" s="82" t="s">
        <v>596</v>
      </c>
      <c r="G51" s="82" t="s">
        <v>597</v>
      </c>
      <c r="H51" s="81"/>
      <c r="I51" s="83" t="s">
        <v>596</v>
      </c>
      <c r="J51" s="83" t="s">
        <v>596</v>
      </c>
      <c r="K51" s="84"/>
    </row>
    <row r="52" spans="1:11" ht="13.15" customHeight="1" x14ac:dyDescent="0.25">
      <c r="A52" s="83">
        <v>4510322</v>
      </c>
      <c r="B52" s="84" t="s">
        <v>626</v>
      </c>
      <c r="C52" s="80">
        <v>45890</v>
      </c>
      <c r="D52" s="81"/>
      <c r="E52" s="81"/>
      <c r="F52" s="82" t="s">
        <v>596</v>
      </c>
      <c r="G52" s="82" t="s">
        <v>597</v>
      </c>
      <c r="H52" s="81"/>
      <c r="I52" s="83" t="s">
        <v>596</v>
      </c>
      <c r="J52" s="83" t="s">
        <v>596</v>
      </c>
      <c r="K52" s="84"/>
    </row>
    <row r="53" spans="1:11" ht="13.15" customHeight="1" x14ac:dyDescent="0.25">
      <c r="A53" s="83">
        <v>4510330</v>
      </c>
      <c r="B53" s="84" t="s">
        <v>627</v>
      </c>
      <c r="C53" s="80">
        <v>45890</v>
      </c>
      <c r="D53" s="81"/>
      <c r="E53" s="81"/>
      <c r="F53" s="82" t="s">
        <v>596</v>
      </c>
      <c r="G53" s="82" t="s">
        <v>596</v>
      </c>
      <c r="H53" s="81"/>
      <c r="I53" s="83" t="s">
        <v>596</v>
      </c>
      <c r="J53" s="83" t="s">
        <v>596</v>
      </c>
      <c r="K53" s="84"/>
    </row>
    <row r="54" spans="1:11" ht="13.15" customHeight="1" x14ac:dyDescent="0.25">
      <c r="A54" s="83">
        <v>4510331</v>
      </c>
      <c r="B54" s="84" t="s">
        <v>628</v>
      </c>
      <c r="C54" s="80">
        <v>45890</v>
      </c>
      <c r="D54" s="81"/>
      <c r="E54" s="81"/>
      <c r="F54" s="82" t="s">
        <v>596</v>
      </c>
      <c r="G54" s="82" t="s">
        <v>597</v>
      </c>
      <c r="H54" s="81"/>
      <c r="I54" s="83" t="s">
        <v>596</v>
      </c>
      <c r="J54" s="83" t="s">
        <v>596</v>
      </c>
      <c r="K54" s="84"/>
    </row>
    <row r="55" spans="1:11" ht="13.15" customHeight="1" x14ac:dyDescent="0.25">
      <c r="A55" s="83">
        <v>4510332</v>
      </c>
      <c r="B55" s="84" t="s">
        <v>629</v>
      </c>
      <c r="C55" s="80">
        <v>45890</v>
      </c>
      <c r="D55" s="81"/>
      <c r="E55" s="81"/>
      <c r="F55" s="82" t="s">
        <v>596</v>
      </c>
      <c r="G55" s="82" t="s">
        <v>597</v>
      </c>
      <c r="H55" s="81"/>
      <c r="I55" s="83" t="s">
        <v>596</v>
      </c>
      <c r="J55" s="83" t="s">
        <v>596</v>
      </c>
      <c r="K55" s="84"/>
    </row>
    <row r="56" spans="1:11" ht="13.15" customHeight="1" x14ac:dyDescent="0.25">
      <c r="A56" s="83">
        <v>4510340</v>
      </c>
      <c r="B56" s="84" t="s">
        <v>630</v>
      </c>
      <c r="C56" s="80">
        <v>45890</v>
      </c>
      <c r="D56" s="81"/>
      <c r="E56" s="81"/>
      <c r="F56" s="82" t="s">
        <v>596</v>
      </c>
      <c r="G56" s="82" t="s">
        <v>596</v>
      </c>
      <c r="H56" s="81"/>
      <c r="I56" s="83" t="s">
        <v>596</v>
      </c>
      <c r="J56" s="83" t="s">
        <v>596</v>
      </c>
      <c r="K56" s="84"/>
    </row>
    <row r="57" spans="1:11" ht="13.15" customHeight="1" x14ac:dyDescent="0.25">
      <c r="A57" s="83">
        <v>4510341</v>
      </c>
      <c r="B57" s="84" t="s">
        <v>631</v>
      </c>
      <c r="C57" s="80">
        <v>45890</v>
      </c>
      <c r="D57" s="81"/>
      <c r="E57" s="81"/>
      <c r="F57" s="82" t="s">
        <v>596</v>
      </c>
      <c r="G57" s="82" t="s">
        <v>597</v>
      </c>
      <c r="H57" s="81"/>
      <c r="I57" s="83" t="s">
        <v>596</v>
      </c>
      <c r="J57" s="83" t="s">
        <v>596</v>
      </c>
      <c r="K57" s="84"/>
    </row>
    <row r="58" spans="1:11" ht="13.15" customHeight="1" x14ac:dyDescent="0.25">
      <c r="A58" s="83">
        <v>4510342</v>
      </c>
      <c r="B58" s="84" t="s">
        <v>632</v>
      </c>
      <c r="C58" s="80">
        <v>45890</v>
      </c>
      <c r="D58" s="81"/>
      <c r="E58" s="81"/>
      <c r="F58" s="82" t="s">
        <v>596</v>
      </c>
      <c r="G58" s="82" t="s">
        <v>597</v>
      </c>
      <c r="H58" s="81"/>
      <c r="I58" s="83" t="s">
        <v>596</v>
      </c>
      <c r="J58" s="83" t="s">
        <v>596</v>
      </c>
      <c r="K58" s="84"/>
    </row>
    <row r="59" spans="1:11" ht="13.15" customHeight="1" x14ac:dyDescent="0.25">
      <c r="A59" s="83">
        <v>4510410</v>
      </c>
      <c r="B59" s="84" t="s">
        <v>633</v>
      </c>
      <c r="C59" s="80">
        <v>45033</v>
      </c>
      <c r="D59" s="81"/>
      <c r="E59" s="81"/>
      <c r="F59" s="82" t="s">
        <v>596</v>
      </c>
      <c r="G59" s="82" t="s">
        <v>597</v>
      </c>
      <c r="H59" s="81"/>
      <c r="I59" s="83" t="s">
        <v>596</v>
      </c>
      <c r="J59" s="83" t="s">
        <v>596</v>
      </c>
      <c r="K59" s="84"/>
    </row>
    <row r="60" spans="1:11" ht="13.15" customHeight="1" x14ac:dyDescent="0.25">
      <c r="A60" s="83">
        <v>4511000</v>
      </c>
      <c r="B60" s="84" t="s">
        <v>634</v>
      </c>
      <c r="C60" s="80">
        <v>40455</v>
      </c>
      <c r="D60" s="81"/>
      <c r="E60" s="81"/>
      <c r="F60" s="82" t="s">
        <v>596</v>
      </c>
      <c r="G60" s="82" t="s">
        <v>596</v>
      </c>
      <c r="H60" s="81"/>
      <c r="I60" s="83" t="s">
        <v>597</v>
      </c>
      <c r="J60" s="83" t="s">
        <v>597</v>
      </c>
      <c r="K60" s="84"/>
    </row>
    <row r="61" spans="1:11" ht="13.15" customHeight="1" x14ac:dyDescent="0.3">
      <c r="A61" s="83">
        <v>4511010</v>
      </c>
      <c r="B61" s="84" t="s">
        <v>81</v>
      </c>
      <c r="C61" s="80">
        <v>41567</v>
      </c>
      <c r="D61" s="81"/>
      <c r="E61" s="81"/>
      <c r="F61" s="82" t="s">
        <v>596</v>
      </c>
      <c r="G61" s="82" t="s">
        <v>597</v>
      </c>
      <c r="H61" s="81"/>
      <c r="I61" s="83" t="s">
        <v>596</v>
      </c>
      <c r="J61" s="83" t="s">
        <v>596</v>
      </c>
      <c r="K61" s="84"/>
    </row>
    <row r="62" spans="1:11" ht="13.15" customHeight="1" x14ac:dyDescent="0.3">
      <c r="A62" s="83">
        <v>4511011</v>
      </c>
      <c r="B62" s="84" t="s">
        <v>325</v>
      </c>
      <c r="C62" s="80">
        <v>45140</v>
      </c>
      <c r="D62" s="81"/>
      <c r="E62" s="81"/>
      <c r="F62" s="82" t="s">
        <v>596</v>
      </c>
      <c r="G62" s="82" t="s">
        <v>597</v>
      </c>
      <c r="H62" s="81"/>
      <c r="I62" s="83" t="s">
        <v>596</v>
      </c>
      <c r="J62" s="83" t="s">
        <v>596</v>
      </c>
      <c r="K62" s="84"/>
    </row>
    <row r="63" spans="1:11" ht="13.15" customHeight="1" x14ac:dyDescent="0.3">
      <c r="A63" s="83">
        <v>4511012</v>
      </c>
      <c r="B63" s="84" t="s">
        <v>635</v>
      </c>
      <c r="C63" s="80">
        <v>45120</v>
      </c>
      <c r="D63" s="81"/>
      <c r="E63" s="81"/>
      <c r="F63" s="82" t="s">
        <v>596</v>
      </c>
      <c r="G63" s="82" t="s">
        <v>597</v>
      </c>
      <c r="H63" s="81"/>
      <c r="I63" s="83" t="s">
        <v>596</v>
      </c>
      <c r="J63" s="83" t="s">
        <v>596</v>
      </c>
      <c r="K63" s="84"/>
    </row>
    <row r="64" spans="1:11" ht="13.15" customHeight="1" x14ac:dyDescent="0.3">
      <c r="A64" s="83">
        <v>4511100</v>
      </c>
      <c r="B64" s="84" t="s">
        <v>636</v>
      </c>
      <c r="C64" s="80">
        <v>41557</v>
      </c>
      <c r="D64" s="81"/>
      <c r="E64" s="81"/>
      <c r="F64" s="82" t="s">
        <v>596</v>
      </c>
      <c r="G64" s="82" t="s">
        <v>597</v>
      </c>
      <c r="H64" s="81"/>
      <c r="I64" s="83" t="s">
        <v>596</v>
      </c>
      <c r="J64" s="83" t="s">
        <v>596</v>
      </c>
      <c r="K64" s="84"/>
    </row>
    <row r="65" spans="1:11" ht="13.15" customHeight="1" x14ac:dyDescent="0.3">
      <c r="A65" s="83">
        <v>4511150</v>
      </c>
      <c r="B65" s="84" t="s">
        <v>331</v>
      </c>
      <c r="C65" s="80">
        <v>43129</v>
      </c>
      <c r="D65" s="81"/>
      <c r="E65" s="81"/>
      <c r="F65" s="82" t="s">
        <v>596</v>
      </c>
      <c r="G65" s="82" t="s">
        <v>597</v>
      </c>
      <c r="H65" s="81"/>
      <c r="I65" s="83" t="s">
        <v>596</v>
      </c>
      <c r="J65" s="83" t="s">
        <v>596</v>
      </c>
      <c r="K65" s="84"/>
    </row>
    <row r="66" spans="1:11" ht="13.15" customHeight="1" x14ac:dyDescent="0.25">
      <c r="A66" s="83">
        <v>4511200</v>
      </c>
      <c r="B66" s="84" t="s">
        <v>637</v>
      </c>
      <c r="C66" s="80">
        <v>41631</v>
      </c>
      <c r="D66" s="81"/>
      <c r="E66" s="81"/>
      <c r="F66" s="82" t="s">
        <v>596</v>
      </c>
      <c r="G66" s="82" t="s">
        <v>597</v>
      </c>
      <c r="H66" s="81"/>
      <c r="I66" s="83" t="s">
        <v>596</v>
      </c>
      <c r="J66" s="83" t="s">
        <v>596</v>
      </c>
      <c r="K66" s="84"/>
    </row>
    <row r="67" spans="1:11" ht="13.15" customHeight="1" x14ac:dyDescent="0.25">
      <c r="A67" s="83">
        <v>4511250</v>
      </c>
      <c r="B67" s="84" t="s">
        <v>332</v>
      </c>
      <c r="C67" s="80">
        <v>41631</v>
      </c>
      <c r="D67" s="81"/>
      <c r="E67" s="81"/>
      <c r="F67" s="82" t="s">
        <v>596</v>
      </c>
      <c r="G67" s="82" t="s">
        <v>597</v>
      </c>
      <c r="H67" s="81"/>
      <c r="I67" s="83" t="s">
        <v>596</v>
      </c>
      <c r="J67" s="83" t="s">
        <v>596</v>
      </c>
      <c r="K67" s="84"/>
    </row>
    <row r="68" spans="1:11" ht="13.15" customHeight="1" x14ac:dyDescent="0.25">
      <c r="A68" s="83">
        <v>4511300</v>
      </c>
      <c r="B68" s="84" t="s">
        <v>66</v>
      </c>
      <c r="C68" s="80">
        <v>41631</v>
      </c>
      <c r="D68" s="81"/>
      <c r="E68" s="81"/>
      <c r="F68" s="82" t="s">
        <v>596</v>
      </c>
      <c r="G68" s="82" t="s">
        <v>597</v>
      </c>
      <c r="H68" s="81"/>
      <c r="I68" s="83" t="s">
        <v>596</v>
      </c>
      <c r="J68" s="83" t="s">
        <v>596</v>
      </c>
      <c r="K68" s="84"/>
    </row>
    <row r="69" spans="1:11" ht="13.15" customHeight="1" x14ac:dyDescent="0.25">
      <c r="A69" s="83">
        <v>4511400</v>
      </c>
      <c r="B69" s="84" t="s">
        <v>638</v>
      </c>
      <c r="C69" s="80">
        <v>41557</v>
      </c>
      <c r="D69" s="81"/>
      <c r="E69" s="81"/>
      <c r="F69" s="82" t="s">
        <v>596</v>
      </c>
      <c r="G69" s="82" t="s">
        <v>597</v>
      </c>
      <c r="H69" s="81"/>
      <c r="I69" s="83" t="s">
        <v>596</v>
      </c>
      <c r="J69" s="83" t="s">
        <v>596</v>
      </c>
      <c r="K69" s="84"/>
    </row>
    <row r="70" spans="1:11" ht="13.15" customHeight="1" x14ac:dyDescent="0.25">
      <c r="A70" s="83">
        <v>4511500</v>
      </c>
      <c r="B70" s="84" t="s">
        <v>639</v>
      </c>
      <c r="C70" s="80">
        <v>41631</v>
      </c>
      <c r="D70" s="81"/>
      <c r="E70" s="81"/>
      <c r="F70" s="82" t="s">
        <v>596</v>
      </c>
      <c r="G70" s="82" t="s">
        <v>597</v>
      </c>
      <c r="H70" s="81"/>
      <c r="I70" s="83" t="s">
        <v>596</v>
      </c>
      <c r="J70" s="83" t="s">
        <v>596</v>
      </c>
      <c r="K70" s="84"/>
    </row>
    <row r="71" spans="1:11" ht="13.15" customHeight="1" x14ac:dyDescent="0.25">
      <c r="A71" s="83">
        <v>4511550</v>
      </c>
      <c r="B71" s="84" t="s">
        <v>339</v>
      </c>
      <c r="C71" s="80">
        <v>43859</v>
      </c>
      <c r="D71" s="81"/>
      <c r="E71" s="81"/>
      <c r="F71" s="82" t="s">
        <v>596</v>
      </c>
      <c r="G71" s="82" t="s">
        <v>597</v>
      </c>
      <c r="H71" s="81"/>
      <c r="I71" s="83" t="s">
        <v>596</v>
      </c>
      <c r="J71" s="83" t="s">
        <v>596</v>
      </c>
      <c r="K71" s="84"/>
    </row>
    <row r="72" spans="1:11" ht="13.15" customHeight="1" x14ac:dyDescent="0.25">
      <c r="A72" s="83">
        <v>4511600</v>
      </c>
      <c r="B72" s="84" t="s">
        <v>312</v>
      </c>
      <c r="C72" s="80">
        <v>41631</v>
      </c>
      <c r="D72" s="81"/>
      <c r="E72" s="81"/>
      <c r="F72" s="82" t="s">
        <v>596</v>
      </c>
      <c r="G72" s="82" t="s">
        <v>597</v>
      </c>
      <c r="H72" s="81"/>
      <c r="I72" s="83" t="s">
        <v>596</v>
      </c>
      <c r="J72" s="83" t="s">
        <v>596</v>
      </c>
      <c r="K72" s="84"/>
    </row>
    <row r="73" spans="1:11" ht="13.15" customHeight="1" x14ac:dyDescent="0.25">
      <c r="A73" s="83">
        <v>4511700</v>
      </c>
      <c r="B73" s="84" t="s">
        <v>343</v>
      </c>
      <c r="C73" s="80">
        <v>41631</v>
      </c>
      <c r="D73" s="81"/>
      <c r="E73" s="81"/>
      <c r="F73" s="82" t="s">
        <v>596</v>
      </c>
      <c r="G73" s="82" t="s">
        <v>597</v>
      </c>
      <c r="H73" s="81"/>
      <c r="I73" s="83" t="s">
        <v>596</v>
      </c>
      <c r="J73" s="83" t="s">
        <v>596</v>
      </c>
      <c r="K73" s="84"/>
    </row>
    <row r="74" spans="1:11" ht="13.15" customHeight="1" x14ac:dyDescent="0.25">
      <c r="A74" s="83">
        <v>4511750</v>
      </c>
      <c r="B74" s="84" t="s">
        <v>346</v>
      </c>
      <c r="C74" s="80">
        <v>44039</v>
      </c>
      <c r="D74" s="81"/>
      <c r="E74" s="81"/>
      <c r="F74" s="82" t="s">
        <v>596</v>
      </c>
      <c r="G74" s="82" t="s">
        <v>597</v>
      </c>
      <c r="H74" s="81"/>
      <c r="I74" s="83" t="s">
        <v>596</v>
      </c>
      <c r="J74" s="83" t="s">
        <v>596</v>
      </c>
      <c r="K74" s="84"/>
    </row>
    <row r="75" spans="1:11" ht="13.15" customHeight="1" x14ac:dyDescent="0.25">
      <c r="A75" s="83">
        <v>4511800</v>
      </c>
      <c r="B75" s="84" t="s">
        <v>351</v>
      </c>
      <c r="C75" s="80">
        <v>41631</v>
      </c>
      <c r="D75" s="81"/>
      <c r="E75" s="81"/>
      <c r="F75" s="82" t="s">
        <v>596</v>
      </c>
      <c r="G75" s="82" t="s">
        <v>597</v>
      </c>
      <c r="H75" s="81"/>
      <c r="I75" s="83" t="s">
        <v>596</v>
      </c>
      <c r="J75" s="83" t="s">
        <v>596</v>
      </c>
      <c r="K75" s="84"/>
    </row>
    <row r="76" spans="1:11" ht="13.15" customHeight="1" x14ac:dyDescent="0.25">
      <c r="A76" s="83">
        <v>4511900</v>
      </c>
      <c r="B76" s="84" t="s">
        <v>640</v>
      </c>
      <c r="C76" s="80">
        <v>43508</v>
      </c>
      <c r="D76" s="81"/>
      <c r="E76" s="81"/>
      <c r="F76" s="82" t="s">
        <v>596</v>
      </c>
      <c r="G76" s="82" t="s">
        <v>597</v>
      </c>
      <c r="H76" s="81"/>
      <c r="I76" s="83" t="s">
        <v>596</v>
      </c>
      <c r="J76" s="83" t="s">
        <v>596</v>
      </c>
      <c r="K76" s="84"/>
    </row>
    <row r="77" spans="1:11" ht="13.15" customHeight="1" x14ac:dyDescent="0.25">
      <c r="A77" s="83">
        <v>4511950</v>
      </c>
      <c r="B77" s="84" t="s">
        <v>641</v>
      </c>
      <c r="C77" s="80">
        <v>43508</v>
      </c>
      <c r="D77" s="81"/>
      <c r="E77" s="81"/>
      <c r="F77" s="82" t="s">
        <v>596</v>
      </c>
      <c r="G77" s="82" t="s">
        <v>597</v>
      </c>
      <c r="H77" s="81"/>
      <c r="I77" s="83" t="s">
        <v>596</v>
      </c>
      <c r="J77" s="83" t="s">
        <v>596</v>
      </c>
      <c r="K77" s="84"/>
    </row>
    <row r="78" spans="1:11" ht="13.15" customHeight="1" x14ac:dyDescent="0.25">
      <c r="A78" s="83">
        <v>4512000</v>
      </c>
      <c r="B78" s="84" t="s">
        <v>642</v>
      </c>
      <c r="C78" s="80">
        <v>43129</v>
      </c>
      <c r="D78" s="81"/>
      <c r="E78" s="81"/>
      <c r="F78" s="82" t="s">
        <v>596</v>
      </c>
      <c r="G78" s="82" t="s">
        <v>596</v>
      </c>
      <c r="H78" s="81"/>
      <c r="I78" s="83" t="s">
        <v>597</v>
      </c>
      <c r="J78" s="83" t="s">
        <v>597</v>
      </c>
      <c r="K78" s="84"/>
    </row>
    <row r="79" spans="1:11" ht="13.15" customHeight="1" x14ac:dyDescent="0.25">
      <c r="A79" s="83">
        <v>4512010</v>
      </c>
      <c r="B79" s="84" t="s">
        <v>387</v>
      </c>
      <c r="C79" s="80">
        <v>43164</v>
      </c>
      <c r="D79" s="81"/>
      <c r="E79" s="81"/>
      <c r="F79" s="82" t="s">
        <v>596</v>
      </c>
      <c r="G79" s="82" t="s">
        <v>597</v>
      </c>
      <c r="H79" s="81"/>
      <c r="I79" s="83" t="s">
        <v>596</v>
      </c>
      <c r="J79" s="83" t="s">
        <v>596</v>
      </c>
      <c r="K79" s="84"/>
    </row>
    <row r="80" spans="1:11" ht="13.15" customHeight="1" x14ac:dyDescent="0.25">
      <c r="A80" s="83">
        <v>4512100</v>
      </c>
      <c r="B80" s="84" t="s">
        <v>394</v>
      </c>
      <c r="C80" s="80">
        <v>43129</v>
      </c>
      <c r="D80" s="81"/>
      <c r="E80" s="81"/>
      <c r="F80" s="82" t="s">
        <v>596</v>
      </c>
      <c r="G80" s="82" t="s">
        <v>597</v>
      </c>
      <c r="H80" s="81"/>
      <c r="I80" s="83" t="s">
        <v>596</v>
      </c>
      <c r="J80" s="83" t="s">
        <v>596</v>
      </c>
      <c r="K80" s="84"/>
    </row>
    <row r="81" spans="1:11" ht="13.15" customHeight="1" x14ac:dyDescent="0.25">
      <c r="A81" s="83">
        <v>4512200</v>
      </c>
      <c r="B81" s="84" t="s">
        <v>400</v>
      </c>
      <c r="C81" s="80">
        <v>43129</v>
      </c>
      <c r="D81" s="81"/>
      <c r="E81" s="81"/>
      <c r="F81" s="82" t="s">
        <v>596</v>
      </c>
      <c r="G81" s="82" t="s">
        <v>597</v>
      </c>
      <c r="H81" s="81"/>
      <c r="I81" s="83" t="s">
        <v>596</v>
      </c>
      <c r="J81" s="83" t="s">
        <v>596</v>
      </c>
      <c r="K81" s="84"/>
    </row>
    <row r="82" spans="1:11" ht="13.15" customHeight="1" x14ac:dyDescent="0.25">
      <c r="A82" s="83">
        <v>4512300</v>
      </c>
      <c r="B82" s="84" t="s">
        <v>406</v>
      </c>
      <c r="C82" s="80">
        <v>43129</v>
      </c>
      <c r="D82" s="81"/>
      <c r="E82" s="81"/>
      <c r="F82" s="82" t="s">
        <v>596</v>
      </c>
      <c r="G82" s="82" t="s">
        <v>597</v>
      </c>
      <c r="H82" s="81"/>
      <c r="I82" s="83" t="s">
        <v>596</v>
      </c>
      <c r="J82" s="83" t="s">
        <v>596</v>
      </c>
      <c r="K82" s="84"/>
    </row>
    <row r="83" spans="1:11" ht="13.15" customHeight="1" x14ac:dyDescent="0.25">
      <c r="A83" s="83">
        <v>4512400</v>
      </c>
      <c r="B83" s="84" t="s">
        <v>643</v>
      </c>
      <c r="C83" s="80">
        <v>43129</v>
      </c>
      <c r="D83" s="81"/>
      <c r="E83" s="81"/>
      <c r="F83" s="82" t="s">
        <v>596</v>
      </c>
      <c r="G83" s="82" t="s">
        <v>597</v>
      </c>
      <c r="H83" s="81"/>
      <c r="I83" s="83" t="s">
        <v>596</v>
      </c>
      <c r="J83" s="83" t="s">
        <v>596</v>
      </c>
      <c r="K83" s="84"/>
    </row>
    <row r="84" spans="1:11" ht="13.15" customHeight="1" x14ac:dyDescent="0.25">
      <c r="A84" s="83">
        <v>4513000</v>
      </c>
      <c r="B84" s="84" t="s">
        <v>644</v>
      </c>
      <c r="C84" s="80">
        <v>41557</v>
      </c>
      <c r="D84" s="81"/>
      <c r="E84" s="81"/>
      <c r="F84" s="82" t="s">
        <v>596</v>
      </c>
      <c r="G84" s="82" t="s">
        <v>596</v>
      </c>
      <c r="H84" s="81"/>
      <c r="I84" s="83" t="s">
        <v>597</v>
      </c>
      <c r="J84" s="83" t="s">
        <v>597</v>
      </c>
      <c r="K84" s="84"/>
    </row>
    <row r="85" spans="1:11" ht="13.15" customHeight="1" x14ac:dyDescent="0.25">
      <c r="A85" s="83">
        <v>4513010</v>
      </c>
      <c r="B85" s="84" t="s">
        <v>645</v>
      </c>
      <c r="C85" s="80">
        <v>41557</v>
      </c>
      <c r="D85" s="81"/>
      <c r="E85" s="81"/>
      <c r="F85" s="82" t="s">
        <v>596</v>
      </c>
      <c r="G85" s="82" t="s">
        <v>597</v>
      </c>
      <c r="H85" s="81"/>
      <c r="I85" s="83" t="s">
        <v>596</v>
      </c>
      <c r="J85" s="83" t="s">
        <v>596</v>
      </c>
      <c r="K85" s="84"/>
    </row>
    <row r="86" spans="1:11" ht="13.15" customHeight="1" x14ac:dyDescent="0.25">
      <c r="A86" s="83">
        <v>4513100</v>
      </c>
      <c r="B86" s="84" t="s">
        <v>646</v>
      </c>
      <c r="C86" s="80">
        <v>41631</v>
      </c>
      <c r="D86" s="81"/>
      <c r="E86" s="81"/>
      <c r="F86" s="82" t="s">
        <v>596</v>
      </c>
      <c r="G86" s="82" t="s">
        <v>597</v>
      </c>
      <c r="H86" s="81"/>
      <c r="I86" s="83" t="s">
        <v>596</v>
      </c>
      <c r="J86" s="83" t="s">
        <v>596</v>
      </c>
      <c r="K86" s="84"/>
    </row>
    <row r="87" spans="1:11" ht="13.15" customHeight="1" x14ac:dyDescent="0.25">
      <c r="A87" s="83">
        <v>4513110</v>
      </c>
      <c r="B87" s="84" t="s">
        <v>170</v>
      </c>
      <c r="C87" s="80">
        <v>44993</v>
      </c>
      <c r="D87" s="81"/>
      <c r="E87" s="81"/>
      <c r="F87" s="82" t="s">
        <v>596</v>
      </c>
      <c r="G87" s="82" t="s">
        <v>597</v>
      </c>
      <c r="H87" s="81"/>
      <c r="I87" s="83" t="s">
        <v>596</v>
      </c>
      <c r="J87" s="83" t="s">
        <v>596</v>
      </c>
      <c r="K87" s="84"/>
    </row>
    <row r="88" spans="1:11" ht="13.15" customHeight="1" x14ac:dyDescent="0.25">
      <c r="A88" s="83">
        <v>4513111</v>
      </c>
      <c r="B88" s="84" t="s">
        <v>440</v>
      </c>
      <c r="C88" s="80">
        <v>45313</v>
      </c>
      <c r="D88" s="81"/>
      <c r="E88" s="81"/>
      <c r="F88" s="82" t="s">
        <v>596</v>
      </c>
      <c r="G88" s="82" t="s">
        <v>597</v>
      </c>
      <c r="H88" s="81"/>
      <c r="I88" s="83" t="s">
        <v>596</v>
      </c>
      <c r="J88" s="83" t="s">
        <v>596</v>
      </c>
      <c r="K88" s="84"/>
    </row>
    <row r="89" spans="1:11" ht="13.15" customHeight="1" x14ac:dyDescent="0.25">
      <c r="A89" s="83">
        <v>4513120</v>
      </c>
      <c r="B89" s="84" t="s">
        <v>434</v>
      </c>
      <c r="C89" s="80">
        <v>44993</v>
      </c>
      <c r="D89" s="81"/>
      <c r="E89" s="81"/>
      <c r="F89" s="82" t="s">
        <v>596</v>
      </c>
      <c r="G89" s="82" t="s">
        <v>597</v>
      </c>
      <c r="H89" s="81"/>
      <c r="I89" s="83" t="s">
        <v>596</v>
      </c>
      <c r="J89" s="83" t="s">
        <v>596</v>
      </c>
      <c r="K89" s="84"/>
    </row>
    <row r="90" spans="1:11" ht="13.15" customHeight="1" x14ac:dyDescent="0.25">
      <c r="A90" s="83">
        <v>4513130</v>
      </c>
      <c r="B90" s="84" t="s">
        <v>177</v>
      </c>
      <c r="C90" s="80">
        <v>44993</v>
      </c>
      <c r="D90" s="81"/>
      <c r="E90" s="81"/>
      <c r="F90" s="82" t="s">
        <v>596</v>
      </c>
      <c r="G90" s="82" t="s">
        <v>597</v>
      </c>
      <c r="H90" s="81"/>
      <c r="I90" s="83" t="s">
        <v>596</v>
      </c>
      <c r="J90" s="83" t="s">
        <v>596</v>
      </c>
      <c r="K90" s="84"/>
    </row>
    <row r="91" spans="1:11" ht="13.15" customHeight="1" x14ac:dyDescent="0.25">
      <c r="A91" s="83">
        <v>4513140</v>
      </c>
      <c r="B91" s="84" t="s">
        <v>438</v>
      </c>
      <c r="C91" s="80">
        <v>45027</v>
      </c>
      <c r="D91" s="81"/>
      <c r="E91" s="81"/>
      <c r="F91" s="82" t="s">
        <v>596</v>
      </c>
      <c r="G91" s="82" t="s">
        <v>597</v>
      </c>
      <c r="H91" s="81"/>
      <c r="I91" s="83" t="s">
        <v>596</v>
      </c>
      <c r="J91" s="83" t="s">
        <v>596</v>
      </c>
      <c r="K91" s="84"/>
    </row>
    <row r="92" spans="1:11" ht="13.15" customHeight="1" x14ac:dyDescent="0.25">
      <c r="A92" s="83">
        <v>4513200</v>
      </c>
      <c r="B92" s="84" t="s">
        <v>647</v>
      </c>
      <c r="C92" s="80">
        <v>41631</v>
      </c>
      <c r="D92" s="81"/>
      <c r="E92" s="81"/>
      <c r="F92" s="82" t="s">
        <v>596</v>
      </c>
      <c r="G92" s="82" t="s">
        <v>597</v>
      </c>
      <c r="H92" s="81"/>
      <c r="I92" s="83" t="s">
        <v>596</v>
      </c>
      <c r="J92" s="83" t="s">
        <v>596</v>
      </c>
      <c r="K92" s="84"/>
    </row>
    <row r="93" spans="1:11" ht="13.15" customHeight="1" x14ac:dyDescent="0.25">
      <c r="A93" s="83">
        <v>4513300</v>
      </c>
      <c r="B93" s="84" t="s">
        <v>648</v>
      </c>
      <c r="C93" s="80">
        <v>41631</v>
      </c>
      <c r="D93" s="81"/>
      <c r="E93" s="81"/>
      <c r="F93" s="82" t="s">
        <v>596</v>
      </c>
      <c r="G93" s="82" t="s">
        <v>597</v>
      </c>
      <c r="H93" s="81"/>
      <c r="I93" s="83" t="s">
        <v>596</v>
      </c>
      <c r="J93" s="83" t="s">
        <v>596</v>
      </c>
      <c r="K93" s="84"/>
    </row>
    <row r="94" spans="1:11" ht="13.15" customHeight="1" x14ac:dyDescent="0.25">
      <c r="A94" s="83">
        <v>4513400</v>
      </c>
      <c r="B94" s="84" t="s">
        <v>649</v>
      </c>
      <c r="C94" s="80">
        <v>41631</v>
      </c>
      <c r="D94" s="81"/>
      <c r="E94" s="81"/>
      <c r="F94" s="82" t="s">
        <v>596</v>
      </c>
      <c r="G94" s="82" t="s">
        <v>597</v>
      </c>
      <c r="H94" s="81"/>
      <c r="I94" s="83" t="s">
        <v>596</v>
      </c>
      <c r="J94" s="83" t="s">
        <v>596</v>
      </c>
      <c r="K94" s="84"/>
    </row>
    <row r="95" spans="1:11" ht="13.15" customHeight="1" x14ac:dyDescent="0.25">
      <c r="A95" s="83">
        <v>4513500</v>
      </c>
      <c r="B95" s="84" t="s">
        <v>650</v>
      </c>
      <c r="C95" s="80">
        <v>41631</v>
      </c>
      <c r="D95" s="81"/>
      <c r="E95" s="81"/>
      <c r="F95" s="82" t="s">
        <v>596</v>
      </c>
      <c r="G95" s="82" t="s">
        <v>597</v>
      </c>
      <c r="H95" s="81"/>
      <c r="I95" s="83" t="s">
        <v>596</v>
      </c>
      <c r="J95" s="83" t="s">
        <v>596</v>
      </c>
      <c r="K95" s="84"/>
    </row>
    <row r="96" spans="1:11" ht="13.15" customHeight="1" x14ac:dyDescent="0.25">
      <c r="A96" s="83">
        <v>4513600</v>
      </c>
      <c r="B96" s="84" t="s">
        <v>651</v>
      </c>
      <c r="C96" s="80">
        <v>41631</v>
      </c>
      <c r="D96" s="81"/>
      <c r="E96" s="81"/>
      <c r="F96" s="82" t="s">
        <v>596</v>
      </c>
      <c r="G96" s="82" t="s">
        <v>597</v>
      </c>
      <c r="H96" s="81"/>
      <c r="I96" s="83" t="s">
        <v>596</v>
      </c>
      <c r="J96" s="83" t="s">
        <v>596</v>
      </c>
      <c r="K96" s="84"/>
    </row>
    <row r="97" spans="1:11" ht="13.15" customHeight="1" x14ac:dyDescent="0.25">
      <c r="A97" s="83">
        <v>4513700</v>
      </c>
      <c r="B97" s="84" t="s">
        <v>652</v>
      </c>
      <c r="C97" s="80">
        <v>41631</v>
      </c>
      <c r="D97" s="81"/>
      <c r="E97" s="81"/>
      <c r="F97" s="82" t="s">
        <v>596</v>
      </c>
      <c r="G97" s="82" t="s">
        <v>597</v>
      </c>
      <c r="H97" s="81"/>
      <c r="I97" s="83" t="s">
        <v>596</v>
      </c>
      <c r="J97" s="83" t="s">
        <v>596</v>
      </c>
      <c r="K97" s="84"/>
    </row>
    <row r="98" spans="1:11" ht="13.15" customHeight="1" x14ac:dyDescent="0.25">
      <c r="A98" s="83">
        <v>4513800</v>
      </c>
      <c r="B98" s="84" t="s">
        <v>653</v>
      </c>
      <c r="C98" s="80">
        <v>43508</v>
      </c>
      <c r="D98" s="81"/>
      <c r="E98" s="81"/>
      <c r="F98" s="82" t="s">
        <v>596</v>
      </c>
      <c r="G98" s="82" t="s">
        <v>597</v>
      </c>
      <c r="H98" s="81"/>
      <c r="I98" s="83" t="s">
        <v>596</v>
      </c>
      <c r="J98" s="83" t="s">
        <v>596</v>
      </c>
      <c r="K98" s="84"/>
    </row>
    <row r="99" spans="1:11" ht="13.15" customHeight="1" x14ac:dyDescent="0.25">
      <c r="A99" s="83">
        <v>4514000</v>
      </c>
      <c r="B99" s="84" t="s">
        <v>654</v>
      </c>
      <c r="C99" s="80">
        <v>45177</v>
      </c>
      <c r="D99" s="81"/>
      <c r="E99" s="81"/>
      <c r="F99" s="82" t="s">
        <v>596</v>
      </c>
      <c r="G99" s="82" t="s">
        <v>597</v>
      </c>
      <c r="H99" s="81"/>
      <c r="I99" s="83" t="s">
        <v>596</v>
      </c>
      <c r="J99" s="83" t="s">
        <v>596</v>
      </c>
      <c r="K99" s="84"/>
    </row>
    <row r="100" spans="1:11" ht="13.15" customHeight="1" x14ac:dyDescent="0.25">
      <c r="A100" s="83">
        <v>4514120</v>
      </c>
      <c r="B100" s="84" t="s">
        <v>655</v>
      </c>
      <c r="C100" s="80">
        <v>45177</v>
      </c>
      <c r="D100" s="81"/>
      <c r="E100" s="81"/>
      <c r="F100" s="82" t="s">
        <v>596</v>
      </c>
      <c r="G100" s="82" t="s">
        <v>597</v>
      </c>
      <c r="H100" s="81"/>
      <c r="I100" s="83" t="s">
        <v>596</v>
      </c>
      <c r="J100" s="83" t="s">
        <v>596</v>
      </c>
      <c r="K100" s="84"/>
    </row>
    <row r="101" spans="1:11" ht="13.15" customHeight="1" x14ac:dyDescent="0.25">
      <c r="A101" s="83">
        <v>4514121</v>
      </c>
      <c r="B101" s="84" t="s">
        <v>656</v>
      </c>
      <c r="C101" s="80">
        <v>45187</v>
      </c>
      <c r="D101" s="81"/>
      <c r="E101" s="81"/>
      <c r="F101" s="82" t="s">
        <v>596</v>
      </c>
      <c r="G101" s="82" t="s">
        <v>597</v>
      </c>
      <c r="H101" s="81"/>
      <c r="I101" s="83" t="s">
        <v>596</v>
      </c>
      <c r="J101" s="83" t="s">
        <v>596</v>
      </c>
      <c r="K101" s="84"/>
    </row>
    <row r="102" spans="1:11" ht="13.15" customHeight="1" x14ac:dyDescent="0.25">
      <c r="A102" s="83">
        <v>4514140</v>
      </c>
      <c r="B102" s="84" t="s">
        <v>657</v>
      </c>
      <c r="C102" s="80">
        <v>45177</v>
      </c>
      <c r="D102" s="81"/>
      <c r="E102" s="81"/>
      <c r="F102" s="82" t="s">
        <v>596</v>
      </c>
      <c r="G102" s="82" t="s">
        <v>597</v>
      </c>
      <c r="H102" s="81"/>
      <c r="I102" s="83" t="s">
        <v>596</v>
      </c>
      <c r="J102" s="83" t="s">
        <v>596</v>
      </c>
      <c r="K102" s="84"/>
    </row>
    <row r="103" spans="1:11" ht="13.15" customHeight="1" x14ac:dyDescent="0.25">
      <c r="A103" s="83">
        <v>4514160</v>
      </c>
      <c r="B103" s="84" t="s">
        <v>658</v>
      </c>
      <c r="C103" s="80">
        <v>45177</v>
      </c>
      <c r="D103" s="81"/>
      <c r="E103" s="81"/>
      <c r="F103" s="82" t="s">
        <v>596</v>
      </c>
      <c r="G103" s="82" t="s">
        <v>597</v>
      </c>
      <c r="H103" s="81"/>
      <c r="I103" s="83" t="s">
        <v>596</v>
      </c>
      <c r="J103" s="83" t="s">
        <v>596</v>
      </c>
      <c r="K103" s="84"/>
    </row>
    <row r="104" spans="1:11" ht="13.15" customHeight="1" x14ac:dyDescent="0.25">
      <c r="A104" s="83">
        <v>4514180</v>
      </c>
      <c r="B104" s="84" t="s">
        <v>659</v>
      </c>
      <c r="C104" s="80">
        <v>45177</v>
      </c>
      <c r="D104" s="81"/>
      <c r="E104" s="81"/>
      <c r="F104" s="82" t="s">
        <v>596</v>
      </c>
      <c r="G104" s="82" t="s">
        <v>597</v>
      </c>
      <c r="H104" s="81"/>
      <c r="I104" s="83" t="s">
        <v>596</v>
      </c>
      <c r="J104" s="83" t="s">
        <v>596</v>
      </c>
      <c r="K104" s="84"/>
    </row>
    <row r="105" spans="1:11" ht="13.15" customHeight="1" x14ac:dyDescent="0.25">
      <c r="A105" s="83">
        <v>4515000</v>
      </c>
      <c r="B105" s="84" t="s">
        <v>571</v>
      </c>
      <c r="C105" s="80">
        <v>41567</v>
      </c>
      <c r="D105" s="81"/>
      <c r="E105" s="81"/>
      <c r="F105" s="82" t="s">
        <v>596</v>
      </c>
      <c r="G105" s="82" t="s">
        <v>596</v>
      </c>
      <c r="H105" s="81"/>
      <c r="I105" s="83" t="s">
        <v>597</v>
      </c>
      <c r="J105" s="83" t="s">
        <v>597</v>
      </c>
      <c r="K105" s="84"/>
    </row>
    <row r="106" spans="1:11" ht="13.15" customHeight="1" x14ac:dyDescent="0.25">
      <c r="A106" s="83">
        <v>4515001</v>
      </c>
      <c r="B106" s="84" t="s">
        <v>497</v>
      </c>
      <c r="C106" s="80">
        <v>45811</v>
      </c>
      <c r="D106" s="81"/>
      <c r="E106" s="81"/>
      <c r="F106" s="82" t="s">
        <v>596</v>
      </c>
      <c r="G106" s="82" t="s">
        <v>597</v>
      </c>
      <c r="H106" s="81"/>
      <c r="I106" s="83" t="s">
        <v>596</v>
      </c>
      <c r="J106" s="83" t="s">
        <v>596</v>
      </c>
      <c r="K106" s="84"/>
    </row>
    <row r="107" spans="1:11" ht="13.15" customHeight="1" x14ac:dyDescent="0.25">
      <c r="A107" s="83">
        <v>4515010</v>
      </c>
      <c r="B107" s="84" t="s">
        <v>486</v>
      </c>
      <c r="C107" s="80">
        <v>41567</v>
      </c>
      <c r="D107" s="81"/>
      <c r="E107" s="81"/>
      <c r="F107" s="82" t="s">
        <v>596</v>
      </c>
      <c r="G107" s="82" t="s">
        <v>597</v>
      </c>
      <c r="H107" s="81"/>
      <c r="I107" s="83" t="s">
        <v>596</v>
      </c>
      <c r="J107" s="83" t="s">
        <v>596</v>
      </c>
      <c r="K107" s="84"/>
    </row>
    <row r="108" spans="1:11" ht="13.15" customHeight="1" x14ac:dyDescent="0.25">
      <c r="A108" s="83">
        <v>4515020</v>
      </c>
      <c r="B108" s="84" t="s">
        <v>504</v>
      </c>
      <c r="C108" s="80">
        <v>45811</v>
      </c>
      <c r="D108" s="81"/>
      <c r="E108" s="81"/>
      <c r="F108" s="82" t="s">
        <v>596</v>
      </c>
      <c r="G108" s="82" t="s">
        <v>597</v>
      </c>
      <c r="H108" s="81"/>
      <c r="I108" s="83" t="s">
        <v>596</v>
      </c>
      <c r="J108" s="83" t="s">
        <v>596</v>
      </c>
      <c r="K108" s="84"/>
    </row>
    <row r="109" spans="1:11" ht="13.15" customHeight="1" x14ac:dyDescent="0.25">
      <c r="A109" s="83">
        <v>4515030</v>
      </c>
      <c r="B109" s="84" t="s">
        <v>660</v>
      </c>
      <c r="C109" s="80">
        <v>45811</v>
      </c>
      <c r="D109" s="81"/>
      <c r="E109" s="81"/>
      <c r="F109" s="82" t="s">
        <v>596</v>
      </c>
      <c r="G109" s="82" t="s">
        <v>597</v>
      </c>
      <c r="H109" s="81"/>
      <c r="I109" s="83" t="s">
        <v>596</v>
      </c>
      <c r="J109" s="83" t="s">
        <v>596</v>
      </c>
      <c r="K109" s="84"/>
    </row>
    <row r="110" spans="1:11" ht="13.15" customHeight="1" x14ac:dyDescent="0.25">
      <c r="A110" s="83">
        <v>4515040</v>
      </c>
      <c r="B110" s="84" t="s">
        <v>661</v>
      </c>
      <c r="C110" s="80">
        <v>45811</v>
      </c>
      <c r="D110" s="81"/>
      <c r="E110" s="81"/>
      <c r="F110" s="82" t="s">
        <v>596</v>
      </c>
      <c r="G110" s="82" t="s">
        <v>597</v>
      </c>
      <c r="H110" s="81"/>
      <c r="I110" s="83" t="s">
        <v>596</v>
      </c>
      <c r="J110" s="83" t="s">
        <v>596</v>
      </c>
      <c r="K110" s="84"/>
    </row>
    <row r="111" spans="1:11" ht="13.15" customHeight="1" x14ac:dyDescent="0.25">
      <c r="A111" s="83">
        <v>4515100</v>
      </c>
      <c r="B111" s="84" t="s">
        <v>491</v>
      </c>
      <c r="C111" s="80">
        <v>41631</v>
      </c>
      <c r="D111" s="81"/>
      <c r="E111" s="81"/>
      <c r="F111" s="82" t="s">
        <v>596</v>
      </c>
      <c r="G111" s="82" t="s">
        <v>597</v>
      </c>
      <c r="H111" s="81"/>
      <c r="I111" s="83" t="s">
        <v>596</v>
      </c>
      <c r="J111" s="83" t="s">
        <v>596</v>
      </c>
      <c r="K111" s="84"/>
    </row>
    <row r="112" spans="1:11" ht="13.15" customHeight="1" x14ac:dyDescent="0.25">
      <c r="A112" s="83">
        <v>4515200</v>
      </c>
      <c r="B112" s="84" t="s">
        <v>662</v>
      </c>
      <c r="C112" s="80">
        <v>41632</v>
      </c>
      <c r="D112" s="81"/>
      <c r="E112" s="81"/>
      <c r="F112" s="82" t="s">
        <v>596</v>
      </c>
      <c r="G112" s="82" t="s">
        <v>597</v>
      </c>
      <c r="H112" s="81"/>
      <c r="I112" s="83" t="s">
        <v>596</v>
      </c>
      <c r="J112" s="83" t="s">
        <v>596</v>
      </c>
      <c r="K112" s="84"/>
    </row>
    <row r="113" spans="1:11" ht="13.15" customHeight="1" x14ac:dyDescent="0.25">
      <c r="A113" s="83">
        <v>4515300</v>
      </c>
      <c r="B113" s="84" t="s">
        <v>465</v>
      </c>
      <c r="C113" s="80">
        <v>41632</v>
      </c>
      <c r="D113" s="81"/>
      <c r="E113" s="81"/>
      <c r="F113" s="82" t="s">
        <v>596</v>
      </c>
      <c r="G113" s="82" t="s">
        <v>597</v>
      </c>
      <c r="H113" s="81"/>
      <c r="I113" s="83" t="s">
        <v>596</v>
      </c>
      <c r="J113" s="83" t="s">
        <v>596</v>
      </c>
      <c r="K113" s="84"/>
    </row>
    <row r="114" spans="1:11" ht="13.15" customHeight="1" x14ac:dyDescent="0.25">
      <c r="A114" s="83">
        <v>4515400</v>
      </c>
      <c r="B114" s="84" t="s">
        <v>233</v>
      </c>
      <c r="C114" s="80">
        <v>41632</v>
      </c>
      <c r="D114" s="81"/>
      <c r="E114" s="81"/>
      <c r="F114" s="82" t="s">
        <v>596</v>
      </c>
      <c r="G114" s="82" t="s">
        <v>597</v>
      </c>
      <c r="H114" s="81"/>
      <c r="I114" s="83" t="s">
        <v>596</v>
      </c>
      <c r="J114" s="83" t="s">
        <v>596</v>
      </c>
      <c r="K114" s="84"/>
    </row>
    <row r="115" spans="1:11" ht="13.15" customHeight="1" x14ac:dyDescent="0.25">
      <c r="A115" s="83">
        <v>4515500</v>
      </c>
      <c r="B115" s="84" t="s">
        <v>240</v>
      </c>
      <c r="C115" s="80">
        <v>41632</v>
      </c>
      <c r="D115" s="81"/>
      <c r="E115" s="81"/>
      <c r="F115" s="82" t="s">
        <v>596</v>
      </c>
      <c r="G115" s="82" t="s">
        <v>597</v>
      </c>
      <c r="H115" s="81"/>
      <c r="I115" s="83" t="s">
        <v>596</v>
      </c>
      <c r="J115" s="83" t="s">
        <v>596</v>
      </c>
      <c r="K115" s="84"/>
    </row>
    <row r="116" spans="1:11" ht="13.15" customHeight="1" x14ac:dyDescent="0.25">
      <c r="A116" s="83">
        <v>4515600</v>
      </c>
      <c r="B116" s="84" t="s">
        <v>663</v>
      </c>
      <c r="C116" s="80">
        <v>43859</v>
      </c>
      <c r="D116" s="81"/>
      <c r="E116" s="81"/>
      <c r="F116" s="82" t="s">
        <v>596</v>
      </c>
      <c r="G116" s="82" t="s">
        <v>597</v>
      </c>
      <c r="H116" s="81"/>
      <c r="I116" s="83" t="s">
        <v>596</v>
      </c>
      <c r="J116" s="83" t="s">
        <v>596</v>
      </c>
      <c r="K116" s="84"/>
    </row>
    <row r="117" spans="1:11" ht="13.15" customHeight="1" x14ac:dyDescent="0.25">
      <c r="A117" s="83">
        <v>4515700</v>
      </c>
      <c r="B117" s="84" t="s">
        <v>482</v>
      </c>
      <c r="C117" s="80">
        <v>44993</v>
      </c>
      <c r="D117" s="81"/>
      <c r="E117" s="81"/>
      <c r="F117" s="82" t="s">
        <v>596</v>
      </c>
      <c r="G117" s="82" t="s">
        <v>597</v>
      </c>
      <c r="H117" s="81"/>
      <c r="I117" s="83" t="s">
        <v>596</v>
      </c>
      <c r="J117" s="83" t="s">
        <v>596</v>
      </c>
      <c r="K117" s="84"/>
    </row>
    <row r="118" spans="1:11" ht="13.15" customHeight="1" x14ac:dyDescent="0.25">
      <c r="A118" s="83">
        <v>4515800</v>
      </c>
      <c r="B118" s="84" t="s">
        <v>492</v>
      </c>
      <c r="C118" s="80">
        <v>44993</v>
      </c>
      <c r="D118" s="81"/>
      <c r="E118" s="81"/>
      <c r="F118" s="82" t="s">
        <v>596</v>
      </c>
      <c r="G118" s="82" t="s">
        <v>597</v>
      </c>
      <c r="H118" s="81"/>
      <c r="I118" s="83" t="s">
        <v>596</v>
      </c>
      <c r="J118" s="83" t="s">
        <v>596</v>
      </c>
      <c r="K118" s="84"/>
    </row>
    <row r="119" spans="1:11" ht="13.15" customHeight="1" x14ac:dyDescent="0.25">
      <c r="A119" s="83">
        <v>4515900</v>
      </c>
      <c r="B119" s="84" t="s">
        <v>499</v>
      </c>
      <c r="C119" s="80">
        <v>45092</v>
      </c>
      <c r="D119" s="81"/>
      <c r="E119" s="81"/>
      <c r="F119" s="82" t="s">
        <v>596</v>
      </c>
      <c r="G119" s="82" t="s">
        <v>597</v>
      </c>
      <c r="H119" s="81"/>
      <c r="I119" s="83" t="s">
        <v>596</v>
      </c>
      <c r="J119" s="83" t="s">
        <v>596</v>
      </c>
      <c r="K119" s="84"/>
    </row>
    <row r="120" spans="1:11" ht="13.15" customHeight="1" x14ac:dyDescent="0.25">
      <c r="A120" s="83">
        <v>4516000</v>
      </c>
      <c r="B120" s="84" t="s">
        <v>664</v>
      </c>
      <c r="C120" s="80">
        <v>41567</v>
      </c>
      <c r="D120" s="81"/>
      <c r="E120" s="81"/>
      <c r="F120" s="82" t="s">
        <v>596</v>
      </c>
      <c r="G120" s="82" t="s">
        <v>596</v>
      </c>
      <c r="H120" s="81"/>
      <c r="I120" s="83" t="s">
        <v>597</v>
      </c>
      <c r="J120" s="83" t="s">
        <v>597</v>
      </c>
      <c r="K120" s="84"/>
    </row>
    <row r="121" spans="1:11" ht="13.15" customHeight="1" x14ac:dyDescent="0.25">
      <c r="A121" s="83">
        <v>4516010</v>
      </c>
      <c r="B121" s="84" t="s">
        <v>665</v>
      </c>
      <c r="C121" s="80">
        <v>41567</v>
      </c>
      <c r="D121" s="81"/>
      <c r="E121" s="81"/>
      <c r="F121" s="82" t="s">
        <v>596</v>
      </c>
      <c r="G121" s="82" t="s">
        <v>597</v>
      </c>
      <c r="H121" s="81"/>
      <c r="I121" s="83" t="s">
        <v>596</v>
      </c>
      <c r="J121" s="83" t="s">
        <v>596</v>
      </c>
      <c r="K121" s="84"/>
    </row>
    <row r="122" spans="1:11" ht="13.15" customHeight="1" x14ac:dyDescent="0.25">
      <c r="A122" s="83">
        <v>4516100</v>
      </c>
      <c r="B122" s="84" t="s">
        <v>317</v>
      </c>
      <c r="C122" s="80">
        <v>41631</v>
      </c>
      <c r="D122" s="81"/>
      <c r="E122" s="81"/>
      <c r="F122" s="82" t="s">
        <v>596</v>
      </c>
      <c r="G122" s="82" t="s">
        <v>597</v>
      </c>
      <c r="H122" s="81"/>
      <c r="I122" s="83" t="s">
        <v>596</v>
      </c>
      <c r="J122" s="83" t="s">
        <v>596</v>
      </c>
      <c r="K122" s="84"/>
    </row>
    <row r="123" spans="1:11" ht="13.15" customHeight="1" x14ac:dyDescent="0.25">
      <c r="A123" s="83">
        <v>4516150</v>
      </c>
      <c r="B123" s="84" t="s">
        <v>666</v>
      </c>
      <c r="C123" s="80">
        <v>41631</v>
      </c>
      <c r="D123" s="81"/>
      <c r="E123" s="81"/>
      <c r="F123" s="82" t="s">
        <v>596</v>
      </c>
      <c r="G123" s="82" t="s">
        <v>597</v>
      </c>
      <c r="H123" s="81"/>
      <c r="I123" s="83" t="s">
        <v>596</v>
      </c>
      <c r="J123" s="83" t="s">
        <v>596</v>
      </c>
      <c r="K123" s="84"/>
    </row>
    <row r="124" spans="1:11" ht="13.15" customHeight="1" x14ac:dyDescent="0.25">
      <c r="A124" s="83">
        <v>4516200</v>
      </c>
      <c r="B124" s="84" t="s">
        <v>667</v>
      </c>
      <c r="C124" s="80">
        <v>41631</v>
      </c>
      <c r="D124" s="81"/>
      <c r="E124" s="81"/>
      <c r="F124" s="82" t="s">
        <v>596</v>
      </c>
      <c r="G124" s="82" t="s">
        <v>597</v>
      </c>
      <c r="H124" s="81"/>
      <c r="I124" s="83" t="s">
        <v>596</v>
      </c>
      <c r="J124" s="83" t="s">
        <v>596</v>
      </c>
      <c r="K124" s="84"/>
    </row>
    <row r="125" spans="1:11" ht="13.15" customHeight="1" x14ac:dyDescent="0.25">
      <c r="A125" s="83">
        <v>4516300</v>
      </c>
      <c r="B125" s="84" t="s">
        <v>668</v>
      </c>
      <c r="C125" s="80">
        <v>41631</v>
      </c>
      <c r="D125" s="81"/>
      <c r="E125" s="81"/>
      <c r="F125" s="82" t="s">
        <v>596</v>
      </c>
      <c r="G125" s="82" t="s">
        <v>597</v>
      </c>
      <c r="H125" s="81"/>
      <c r="I125" s="83" t="s">
        <v>596</v>
      </c>
      <c r="J125" s="83" t="s">
        <v>596</v>
      </c>
      <c r="K125" s="84"/>
    </row>
    <row r="126" spans="1:11" ht="13.15" customHeight="1" x14ac:dyDescent="0.25">
      <c r="A126" s="83">
        <v>4517000</v>
      </c>
      <c r="B126" s="84" t="s">
        <v>669</v>
      </c>
      <c r="C126" s="80">
        <v>41714</v>
      </c>
      <c r="D126" s="81"/>
      <c r="E126" s="81"/>
      <c r="F126" s="82" t="s">
        <v>596</v>
      </c>
      <c r="G126" s="82" t="s">
        <v>596</v>
      </c>
      <c r="H126" s="81"/>
      <c r="I126" s="83" t="s">
        <v>597</v>
      </c>
      <c r="J126" s="83" t="s">
        <v>597</v>
      </c>
      <c r="K126" s="84"/>
    </row>
    <row r="127" spans="1:11" ht="13.15" customHeight="1" x14ac:dyDescent="0.25">
      <c r="A127" s="83">
        <v>4517010</v>
      </c>
      <c r="B127" s="84" t="s">
        <v>670</v>
      </c>
      <c r="C127" s="80">
        <v>41714</v>
      </c>
      <c r="D127" s="81"/>
      <c r="E127" s="81"/>
      <c r="F127" s="82" t="s">
        <v>596</v>
      </c>
      <c r="G127" s="82" t="s">
        <v>597</v>
      </c>
      <c r="H127" s="81"/>
      <c r="I127" s="83" t="s">
        <v>596</v>
      </c>
      <c r="J127" s="83" t="s">
        <v>596</v>
      </c>
      <c r="K127" s="84"/>
    </row>
    <row r="128" spans="1:11" ht="13.15" customHeight="1" x14ac:dyDescent="0.25">
      <c r="A128" s="83">
        <v>4517100</v>
      </c>
      <c r="B128" s="84" t="s">
        <v>671</v>
      </c>
      <c r="C128" s="80">
        <v>41714</v>
      </c>
      <c r="D128" s="81"/>
      <c r="E128" s="81"/>
      <c r="F128" s="82" t="s">
        <v>596</v>
      </c>
      <c r="G128" s="82" t="s">
        <v>597</v>
      </c>
      <c r="H128" s="81"/>
      <c r="I128" s="83" t="s">
        <v>596</v>
      </c>
      <c r="J128" s="83" t="s">
        <v>596</v>
      </c>
      <c r="K128" s="84"/>
    </row>
    <row r="129" spans="1:11" ht="13.15" customHeight="1" x14ac:dyDescent="0.25">
      <c r="A129" s="83">
        <v>4517150</v>
      </c>
      <c r="B129" s="84" t="s">
        <v>672</v>
      </c>
      <c r="C129" s="80">
        <v>41714</v>
      </c>
      <c r="D129" s="81"/>
      <c r="E129" s="81"/>
      <c r="F129" s="82" t="s">
        <v>596</v>
      </c>
      <c r="G129" s="82" t="s">
        <v>597</v>
      </c>
      <c r="H129" s="81"/>
      <c r="I129" s="83" t="s">
        <v>596</v>
      </c>
      <c r="J129" s="83" t="s">
        <v>596</v>
      </c>
      <c r="K129" s="84"/>
    </row>
    <row r="130" spans="1:11" ht="13.15" customHeight="1" x14ac:dyDescent="0.25">
      <c r="A130" s="83">
        <v>4517200</v>
      </c>
      <c r="B130" s="84" t="s">
        <v>673</v>
      </c>
      <c r="C130" s="80">
        <v>41714</v>
      </c>
      <c r="D130" s="81"/>
      <c r="E130" s="81"/>
      <c r="F130" s="82" t="s">
        <v>596</v>
      </c>
      <c r="G130" s="82" t="s">
        <v>597</v>
      </c>
      <c r="H130" s="81"/>
      <c r="I130" s="83" t="s">
        <v>596</v>
      </c>
      <c r="J130" s="83" t="s">
        <v>596</v>
      </c>
      <c r="K130" s="84"/>
    </row>
    <row r="131" spans="1:11" ht="13.15" customHeight="1" x14ac:dyDescent="0.25">
      <c r="A131" s="83">
        <v>4517250</v>
      </c>
      <c r="B131" s="84" t="s">
        <v>674</v>
      </c>
      <c r="C131" s="80">
        <v>41714</v>
      </c>
      <c r="D131" s="81"/>
      <c r="E131" s="81"/>
      <c r="F131" s="82" t="s">
        <v>596</v>
      </c>
      <c r="G131" s="82" t="s">
        <v>597</v>
      </c>
      <c r="H131" s="81"/>
      <c r="I131" s="83" t="s">
        <v>596</v>
      </c>
      <c r="J131" s="83" t="s">
        <v>596</v>
      </c>
      <c r="K131" s="84"/>
    </row>
    <row r="132" spans="1:11" ht="13.15" customHeight="1" x14ac:dyDescent="0.25">
      <c r="A132" s="83">
        <v>4518100</v>
      </c>
      <c r="B132" s="84" t="s">
        <v>675</v>
      </c>
      <c r="C132" s="80">
        <v>44769</v>
      </c>
      <c r="D132" s="81"/>
      <c r="E132" s="81"/>
      <c r="F132" s="82" t="s">
        <v>596</v>
      </c>
      <c r="G132" s="82" t="s">
        <v>596</v>
      </c>
      <c r="H132" s="81"/>
      <c r="I132" s="83" t="s">
        <v>596</v>
      </c>
      <c r="J132" s="83" t="s">
        <v>596</v>
      </c>
      <c r="K132" s="84"/>
    </row>
    <row r="133" spans="1:11" ht="13.15" customHeight="1" x14ac:dyDescent="0.25">
      <c r="A133" s="83">
        <v>4518101</v>
      </c>
      <c r="B133" s="84" t="s">
        <v>676</v>
      </c>
      <c r="C133" s="80">
        <v>44769</v>
      </c>
      <c r="D133" s="81"/>
      <c r="E133" s="81"/>
      <c r="F133" s="82" t="s">
        <v>596</v>
      </c>
      <c r="G133" s="82" t="s">
        <v>597</v>
      </c>
      <c r="H133" s="81"/>
      <c r="I133" s="83" t="s">
        <v>596</v>
      </c>
      <c r="J133" s="83" t="s">
        <v>596</v>
      </c>
      <c r="K133" s="84"/>
    </row>
    <row r="134" spans="1:11" ht="13.15" customHeight="1" x14ac:dyDescent="0.25">
      <c r="A134" s="83">
        <v>4518102</v>
      </c>
      <c r="B134" s="84" t="s">
        <v>677</v>
      </c>
      <c r="C134" s="80">
        <v>44769</v>
      </c>
      <c r="D134" s="81"/>
      <c r="E134" s="81"/>
      <c r="F134" s="82" t="s">
        <v>596</v>
      </c>
      <c r="G134" s="82" t="s">
        <v>597</v>
      </c>
      <c r="H134" s="81"/>
      <c r="I134" s="83" t="s">
        <v>596</v>
      </c>
      <c r="J134" s="83" t="s">
        <v>596</v>
      </c>
      <c r="K134" s="84"/>
    </row>
    <row r="135" spans="1:11" ht="13.15" customHeight="1" x14ac:dyDescent="0.25">
      <c r="A135" s="83">
        <v>4518103</v>
      </c>
      <c r="B135" s="84" t="s">
        <v>678</v>
      </c>
      <c r="C135" s="80">
        <v>44769</v>
      </c>
      <c r="D135" s="81"/>
      <c r="E135" s="81"/>
      <c r="F135" s="82" t="s">
        <v>596</v>
      </c>
      <c r="G135" s="82" t="s">
        <v>597</v>
      </c>
      <c r="H135" s="81"/>
      <c r="I135" s="83" t="s">
        <v>596</v>
      </c>
      <c r="J135" s="83" t="s">
        <v>596</v>
      </c>
      <c r="K135" s="84"/>
    </row>
    <row r="136" spans="1:11" ht="13.15" customHeight="1" x14ac:dyDescent="0.25">
      <c r="A136" s="83">
        <v>4518104</v>
      </c>
      <c r="B136" s="84" t="s">
        <v>679</v>
      </c>
      <c r="C136" s="80">
        <v>44769</v>
      </c>
      <c r="D136" s="81"/>
      <c r="E136" s="81"/>
      <c r="F136" s="82" t="s">
        <v>596</v>
      </c>
      <c r="G136" s="82" t="s">
        <v>597</v>
      </c>
      <c r="H136" s="81"/>
      <c r="I136" s="83" t="s">
        <v>596</v>
      </c>
      <c r="J136" s="83" t="s">
        <v>596</v>
      </c>
      <c r="K136" s="84"/>
    </row>
    <row r="137" spans="1:11" ht="13.15" customHeight="1" x14ac:dyDescent="0.25">
      <c r="A137" s="83">
        <v>4518110</v>
      </c>
      <c r="B137" s="84" t="s">
        <v>680</v>
      </c>
      <c r="C137" s="80">
        <v>44769</v>
      </c>
      <c r="D137" s="81"/>
      <c r="E137" s="81"/>
      <c r="F137" s="82" t="s">
        <v>596</v>
      </c>
      <c r="G137" s="82" t="s">
        <v>597</v>
      </c>
      <c r="H137" s="81"/>
      <c r="I137" s="83" t="s">
        <v>596</v>
      </c>
      <c r="J137" s="83" t="s">
        <v>596</v>
      </c>
      <c r="K137" s="84"/>
    </row>
    <row r="138" spans="1:11" ht="13.15" customHeight="1" x14ac:dyDescent="0.25">
      <c r="A138" s="83">
        <v>4518111</v>
      </c>
      <c r="B138" s="84" t="s">
        <v>681</v>
      </c>
      <c r="C138" s="80">
        <v>44769</v>
      </c>
      <c r="D138" s="81"/>
      <c r="E138" s="81"/>
      <c r="F138" s="82" t="s">
        <v>596</v>
      </c>
      <c r="G138" s="82" t="s">
        <v>597</v>
      </c>
      <c r="H138" s="81"/>
      <c r="I138" s="83" t="s">
        <v>596</v>
      </c>
      <c r="J138" s="83" t="s">
        <v>596</v>
      </c>
      <c r="K138" s="84"/>
    </row>
    <row r="139" spans="1:11" ht="13.15" customHeight="1" x14ac:dyDescent="0.25">
      <c r="A139" s="83">
        <v>4518112</v>
      </c>
      <c r="B139" s="84" t="s">
        <v>682</v>
      </c>
      <c r="C139" s="80">
        <v>44769</v>
      </c>
      <c r="D139" s="81"/>
      <c r="E139" s="81"/>
      <c r="F139" s="82" t="s">
        <v>596</v>
      </c>
      <c r="G139" s="82" t="s">
        <v>597</v>
      </c>
      <c r="H139" s="81"/>
      <c r="I139" s="83" t="s">
        <v>596</v>
      </c>
      <c r="J139" s="83" t="s">
        <v>596</v>
      </c>
      <c r="K139" s="84"/>
    </row>
    <row r="140" spans="1:11" ht="13.15" customHeight="1" x14ac:dyDescent="0.25">
      <c r="A140" s="83">
        <v>4518113</v>
      </c>
      <c r="B140" s="84" t="s">
        <v>418</v>
      </c>
      <c r="C140" s="80">
        <v>44769</v>
      </c>
      <c r="D140" s="81"/>
      <c r="E140" s="81"/>
      <c r="F140" s="82" t="s">
        <v>596</v>
      </c>
      <c r="G140" s="82" t="s">
        <v>597</v>
      </c>
      <c r="H140" s="81"/>
      <c r="I140" s="83" t="s">
        <v>596</v>
      </c>
      <c r="J140" s="83" t="s">
        <v>596</v>
      </c>
      <c r="K140" s="84"/>
    </row>
    <row r="141" spans="1:11" ht="13.15" customHeight="1" x14ac:dyDescent="0.25">
      <c r="A141" s="83">
        <v>4518114</v>
      </c>
      <c r="B141" s="84" t="s">
        <v>683</v>
      </c>
      <c r="C141" s="80">
        <v>44769</v>
      </c>
      <c r="D141" s="81"/>
      <c r="E141" s="81"/>
      <c r="F141" s="82" t="s">
        <v>596</v>
      </c>
      <c r="G141" s="82" t="s">
        <v>597</v>
      </c>
      <c r="H141" s="81"/>
      <c r="I141" s="83" t="s">
        <v>596</v>
      </c>
      <c r="J141" s="83" t="s">
        <v>596</v>
      </c>
      <c r="K141" s="84"/>
    </row>
    <row r="142" spans="1:11" ht="13.15" customHeight="1" x14ac:dyDescent="0.25">
      <c r="A142" s="83">
        <v>4518115</v>
      </c>
      <c r="B142" s="84" t="s">
        <v>684</v>
      </c>
      <c r="C142" s="80">
        <v>44769</v>
      </c>
      <c r="D142" s="81"/>
      <c r="E142" s="81"/>
      <c r="F142" s="82" t="s">
        <v>596</v>
      </c>
      <c r="G142" s="82" t="s">
        <v>597</v>
      </c>
      <c r="H142" s="81"/>
      <c r="I142" s="83" t="s">
        <v>596</v>
      </c>
      <c r="J142" s="83" t="s">
        <v>596</v>
      </c>
      <c r="K142" s="84"/>
    </row>
    <row r="143" spans="1:11" ht="13.15" customHeight="1" x14ac:dyDescent="0.25">
      <c r="A143" s="83">
        <v>4518910</v>
      </c>
      <c r="B143" s="84" t="s">
        <v>685</v>
      </c>
      <c r="C143" s="80">
        <v>40836</v>
      </c>
      <c r="D143" s="81"/>
      <c r="E143" s="81"/>
      <c r="F143" s="82" t="s">
        <v>597</v>
      </c>
      <c r="G143" s="82" t="s">
        <v>597</v>
      </c>
      <c r="H143" s="81"/>
      <c r="I143" s="83" t="s">
        <v>597</v>
      </c>
      <c r="J143" s="83" t="s">
        <v>597</v>
      </c>
      <c r="K143" s="84"/>
    </row>
    <row r="144" spans="1:11" ht="13.15" customHeight="1" x14ac:dyDescent="0.25">
      <c r="A144" s="83">
        <v>4519196</v>
      </c>
      <c r="B144" s="84" t="s">
        <v>286</v>
      </c>
      <c r="C144" s="80">
        <v>45098</v>
      </c>
      <c r="D144" s="81"/>
      <c r="E144" s="81"/>
      <c r="F144" s="82" t="s">
        <v>596</v>
      </c>
      <c r="G144" s="82" t="s">
        <v>597</v>
      </c>
      <c r="H144" s="81"/>
      <c r="I144" s="83" t="s">
        <v>596</v>
      </c>
      <c r="J144" s="83" t="s">
        <v>596</v>
      </c>
      <c r="K144" s="84"/>
    </row>
    <row r="145" spans="1:11" ht="13.15" customHeight="1" x14ac:dyDescent="0.25">
      <c r="A145" s="83">
        <v>4519197</v>
      </c>
      <c r="B145" s="84" t="s">
        <v>288</v>
      </c>
      <c r="C145" s="80">
        <v>45098</v>
      </c>
      <c r="D145" s="81"/>
      <c r="E145" s="81"/>
      <c r="F145" s="82" t="s">
        <v>596</v>
      </c>
      <c r="G145" s="82" t="s">
        <v>597</v>
      </c>
      <c r="H145" s="81"/>
      <c r="I145" s="83" t="s">
        <v>596</v>
      </c>
      <c r="J145" s="83" t="s">
        <v>596</v>
      </c>
      <c r="K145" s="84"/>
    </row>
    <row r="146" spans="1:11" ht="13.15" customHeight="1" x14ac:dyDescent="0.25">
      <c r="A146" s="83">
        <v>4519199</v>
      </c>
      <c r="B146" s="84" t="s">
        <v>290</v>
      </c>
      <c r="C146" s="80">
        <v>45098</v>
      </c>
      <c r="D146" s="81"/>
      <c r="E146" s="81"/>
      <c r="F146" s="82" t="s">
        <v>596</v>
      </c>
      <c r="G146" s="82" t="s">
        <v>597</v>
      </c>
      <c r="H146" s="81"/>
      <c r="I146" s="83" t="s">
        <v>596</v>
      </c>
      <c r="J146" s="83" t="s">
        <v>596</v>
      </c>
      <c r="K146" s="84"/>
    </row>
    <row r="147" spans="1:11" ht="13.15" customHeight="1" x14ac:dyDescent="0.25">
      <c r="A147" s="83">
        <v>4519200</v>
      </c>
      <c r="B147" s="84" t="s">
        <v>292</v>
      </c>
      <c r="C147" s="80">
        <v>45098</v>
      </c>
      <c r="D147" s="81"/>
      <c r="E147" s="81"/>
      <c r="F147" s="82" t="s">
        <v>596</v>
      </c>
      <c r="G147" s="82" t="s">
        <v>597</v>
      </c>
      <c r="H147" s="81"/>
      <c r="I147" s="83" t="s">
        <v>596</v>
      </c>
      <c r="J147" s="83" t="s">
        <v>596</v>
      </c>
      <c r="K147" s="84"/>
    </row>
    <row r="148" spans="1:11" ht="13.15" customHeight="1" x14ac:dyDescent="0.25">
      <c r="A148" s="83">
        <v>4519201</v>
      </c>
      <c r="B148" s="84" t="s">
        <v>294</v>
      </c>
      <c r="C148" s="80">
        <v>45098</v>
      </c>
      <c r="D148" s="81"/>
      <c r="E148" s="81"/>
      <c r="F148" s="82" t="s">
        <v>596</v>
      </c>
      <c r="G148" s="82" t="s">
        <v>597</v>
      </c>
      <c r="H148" s="81"/>
      <c r="I148" s="83" t="s">
        <v>596</v>
      </c>
      <c r="J148" s="83" t="s">
        <v>596</v>
      </c>
      <c r="K148" s="84"/>
    </row>
    <row r="149" spans="1:11" ht="13.15" customHeight="1" x14ac:dyDescent="0.25">
      <c r="A149" s="83">
        <v>4519202</v>
      </c>
      <c r="B149" s="84" t="s">
        <v>296</v>
      </c>
      <c r="C149" s="80">
        <v>45098</v>
      </c>
      <c r="D149" s="81"/>
      <c r="E149" s="81"/>
      <c r="F149" s="82" t="s">
        <v>596</v>
      </c>
      <c r="G149" s="82" t="s">
        <v>597</v>
      </c>
      <c r="H149" s="81"/>
      <c r="I149" s="83" t="s">
        <v>596</v>
      </c>
      <c r="J149" s="83" t="s">
        <v>596</v>
      </c>
      <c r="K149" s="84"/>
    </row>
    <row r="150" spans="1:11" ht="13.15" customHeight="1" x14ac:dyDescent="0.25">
      <c r="A150" s="83">
        <v>4519203</v>
      </c>
      <c r="B150" s="84" t="s">
        <v>298</v>
      </c>
      <c r="C150" s="80">
        <v>45098</v>
      </c>
      <c r="D150" s="81"/>
      <c r="E150" s="81"/>
      <c r="F150" s="82" t="s">
        <v>596</v>
      </c>
      <c r="G150" s="82" t="s">
        <v>597</v>
      </c>
      <c r="H150" s="81"/>
      <c r="I150" s="83" t="s">
        <v>596</v>
      </c>
      <c r="J150" s="83" t="s">
        <v>596</v>
      </c>
      <c r="K150" s="84"/>
    </row>
    <row r="151" spans="1:11" ht="13.15" customHeight="1" x14ac:dyDescent="0.25">
      <c r="A151" s="83">
        <v>4519810</v>
      </c>
      <c r="B151" s="84" t="s">
        <v>686</v>
      </c>
      <c r="C151" s="80">
        <v>43496</v>
      </c>
      <c r="D151" s="81"/>
      <c r="E151" s="81"/>
      <c r="F151" s="82" t="s">
        <v>596</v>
      </c>
      <c r="G151" s="82" t="s">
        <v>597</v>
      </c>
      <c r="H151" s="81"/>
      <c r="I151" s="83" t="s">
        <v>596</v>
      </c>
      <c r="J151" s="83" t="s">
        <v>596</v>
      </c>
      <c r="K151" s="84"/>
    </row>
    <row r="152" spans="1:11" ht="13.15" customHeight="1" x14ac:dyDescent="0.25">
      <c r="A152" s="83">
        <v>4519860</v>
      </c>
      <c r="B152" s="84" t="s">
        <v>687</v>
      </c>
      <c r="C152" s="80">
        <v>44426</v>
      </c>
      <c r="D152" s="81"/>
      <c r="E152" s="81"/>
      <c r="F152" s="82" t="s">
        <v>597</v>
      </c>
      <c r="G152" s="82" t="s">
        <v>597</v>
      </c>
      <c r="H152" s="81"/>
      <c r="I152" s="83" t="s">
        <v>596</v>
      </c>
      <c r="J152" s="83" t="s">
        <v>596</v>
      </c>
      <c r="K152" s="84"/>
    </row>
  </sheetData>
  <autoFilter ref="A6:K152" xr:uid="{E104158A-61EE-4161-88B2-19960836EB90}"/>
  <mergeCells count="10">
    <mergeCell ref="A3:G3"/>
    <mergeCell ref="H3:I3"/>
    <mergeCell ref="J3:L3"/>
    <mergeCell ref="E4:F4"/>
    <mergeCell ref="A1:E1"/>
    <mergeCell ref="F1:I1"/>
    <mergeCell ref="J1:K1"/>
    <mergeCell ref="A2:G2"/>
    <mergeCell ref="H2:I2"/>
    <mergeCell ref="J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569-AB50-4D46-9727-701536B1D255}">
  <sheetPr codeName="Sheet10"/>
  <dimension ref="A1:AB69"/>
  <sheetViews>
    <sheetView workbookViewId="0">
      <selection activeCell="J7" sqref="J7"/>
    </sheetView>
  </sheetViews>
  <sheetFormatPr defaultColWidth="0" defaultRowHeight="15" zeroHeight="1" x14ac:dyDescent="0.25"/>
  <cols>
    <col min="1" max="1" width="23.5703125" style="95" bestFit="1" customWidth="1"/>
    <col min="2" max="2" width="9.140625" style="50" customWidth="1"/>
    <col min="3" max="3" width="52.140625" style="50" bestFit="1" customWidth="1"/>
    <col min="4" max="4" width="1.7109375" style="50" customWidth="1"/>
    <col min="5" max="5" width="23.5703125" style="50" bestFit="1" customWidth="1"/>
    <col min="6" max="6" width="8" style="50" customWidth="1"/>
    <col min="7" max="7" width="49.42578125" style="50" bestFit="1" customWidth="1"/>
    <col min="8" max="8" width="1.7109375" style="50" customWidth="1"/>
    <col min="9" max="9" width="7.5703125" style="50" bestFit="1" customWidth="1"/>
    <col min="10" max="10" width="8" style="50" bestFit="1" customWidth="1"/>
    <col min="11" max="11" width="49.28515625" style="50" bestFit="1" customWidth="1"/>
    <col min="12" max="12" width="1.7109375" style="50" customWidth="1"/>
    <col min="13" max="13" width="7.5703125" style="50" bestFit="1" customWidth="1"/>
    <col min="14" max="14" width="9.140625" style="50" customWidth="1"/>
    <col min="15" max="15" width="49.28515625" style="50" bestFit="1" customWidth="1"/>
    <col min="16" max="16" width="1.7109375" style="50" customWidth="1"/>
    <col min="17" max="17" width="22.140625" style="50" customWidth="1"/>
    <col min="18" max="18" width="8" style="50" bestFit="1" customWidth="1"/>
    <col min="19" max="19" width="49.28515625" style="50" bestFit="1" customWidth="1"/>
    <col min="20" max="20" width="1.7109375" style="50" customWidth="1"/>
    <col min="21" max="21" width="13.5703125" style="50" customWidth="1"/>
    <col min="22" max="22" width="9.140625" style="50" customWidth="1"/>
    <col min="23" max="23" width="49.28515625" style="50" bestFit="1" customWidth="1"/>
    <col min="24" max="24" width="1.7109375" style="50" customWidth="1"/>
    <col min="25" max="25" width="22" style="50" bestFit="1" customWidth="1"/>
    <col min="26" max="26" width="9.140625" style="50" customWidth="1"/>
    <col min="27" max="27" width="42.5703125" style="50" bestFit="1" customWidth="1"/>
    <col min="28" max="28" width="0" style="50" hidden="1" customWidth="1"/>
    <col min="29" max="16384" width="9.140625" style="50" hidden="1"/>
  </cols>
  <sheetData>
    <row r="1" spans="1:27" x14ac:dyDescent="0.25">
      <c r="A1" s="222" t="s">
        <v>373</v>
      </c>
      <c r="B1" s="222"/>
      <c r="C1" s="222"/>
      <c r="D1" s="95"/>
      <c r="E1" s="222" t="s">
        <v>16</v>
      </c>
      <c r="F1" s="222"/>
      <c r="G1" s="222"/>
      <c r="H1" s="95"/>
      <c r="I1" s="222" t="s">
        <v>148</v>
      </c>
      <c r="J1" s="222"/>
      <c r="K1" s="222"/>
      <c r="L1" s="95"/>
      <c r="M1" s="222" t="s">
        <v>98</v>
      </c>
      <c r="N1" s="222"/>
      <c r="O1" s="222"/>
      <c r="P1" s="95"/>
      <c r="Q1" s="222" t="s">
        <v>168</v>
      </c>
      <c r="R1" s="222"/>
      <c r="S1" s="222"/>
      <c r="T1" s="95"/>
      <c r="U1" s="222" t="s">
        <v>218</v>
      </c>
      <c r="V1" s="222"/>
      <c r="W1" s="222"/>
      <c r="X1" s="95"/>
      <c r="Y1" s="222" t="s">
        <v>523</v>
      </c>
      <c r="Z1" s="222"/>
      <c r="AA1" s="222"/>
    </row>
    <row r="2" spans="1:27" x14ac:dyDescent="0.25">
      <c r="A2" s="50">
        <f>VLOOKUP(B2,'Director &amp; ED Sep.25'!$C:$F,3,)</f>
        <v>4510150</v>
      </c>
      <c r="B2" s="21">
        <v>4510150</v>
      </c>
      <c r="C2" s="50" t="str">
        <f>VLOOKUP(B2,'Director &amp; ED Sep.25'!C:G,4,)</f>
        <v xml:space="preserve">Executive Office </v>
      </c>
      <c r="D2" s="95"/>
      <c r="E2" s="50">
        <f>VLOOKUP(F2,'Director &amp; ED Sep.25'!$C:$F,3,)</f>
        <v>4518113</v>
      </c>
      <c r="F2" s="50">
        <v>4518113</v>
      </c>
      <c r="G2" s="50" t="str">
        <f>VLOOKUP(F2,'Director &amp; ED Sep.25'!C:G,4,)</f>
        <v>Strategic Affairs</v>
      </c>
      <c r="H2" s="95"/>
      <c r="I2" s="50">
        <f>VLOOKUP(J2,'Director &amp; ED Sep.25'!$C:$F,3,)</f>
        <v>4511010</v>
      </c>
      <c r="J2" s="21">
        <v>4511010</v>
      </c>
      <c r="K2" s="109" t="str">
        <f>VLOOKUP(J2,'Director &amp; ED Sep.25'!C:G,4,)</f>
        <v>Culture</v>
      </c>
      <c r="L2" s="95"/>
      <c r="M2" s="50">
        <f>VLOOKUP(N2,'Director &amp; ED Sep.25'!$C:$F,3,)</f>
        <v>4511750</v>
      </c>
      <c r="N2" s="21">
        <v>4511750</v>
      </c>
      <c r="O2" s="50" t="str">
        <f>VLOOKUP(N2,'Director &amp; ED Sep.25'!C:G,4,)</f>
        <v>Culture</v>
      </c>
      <c r="P2" s="95"/>
      <c r="Q2" s="50">
        <f>VLOOKUP(R2,'Director &amp; ED Sep.25'!$C:$F,3,)</f>
        <v>4515500</v>
      </c>
      <c r="R2" s="21">
        <v>4515500</v>
      </c>
      <c r="S2" s="50" t="str">
        <f>VLOOKUP(R2,'Director &amp; ED Sep.25'!C:G,4,)</f>
        <v>Tourism</v>
      </c>
      <c r="T2" s="95"/>
      <c r="U2" s="50">
        <f>VLOOKUP(V2,'Director &amp; ED Sep.25'!$C:$F,3,)</f>
        <v>4515300</v>
      </c>
      <c r="V2" s="23">
        <v>4515300</v>
      </c>
      <c r="W2" s="50" t="str">
        <f>VLOOKUP(V2,'Director &amp; ED Sep.25'!C:G,4,)</f>
        <v>Tourism</v>
      </c>
      <c r="X2" s="95"/>
      <c r="Y2" s="94">
        <f>VLOOKUP(Z2,'Director &amp; ED Sep.25'!$C:$F,3,)</f>
        <v>4510110</v>
      </c>
      <c r="Z2" s="23">
        <v>4510110</v>
      </c>
      <c r="AA2" s="50" t="str">
        <f>VLOOKUP(Z2,'Director &amp; ED Sep.25'!C:G,4,)</f>
        <v xml:space="preserve">Executive Office </v>
      </c>
    </row>
    <row r="3" spans="1:27" x14ac:dyDescent="0.25">
      <c r="A3" s="50">
        <f>VLOOKUP(B3,'Director &amp; ED Sep.25'!$C:$F,3,)</f>
        <v>4510155</v>
      </c>
      <c r="B3" s="21">
        <v>4510155</v>
      </c>
      <c r="C3" s="50" t="str">
        <f>VLOOKUP(B3,'Director &amp; ED Sep.25'!C:G,4,)</f>
        <v xml:space="preserve">Executive Office </v>
      </c>
      <c r="D3" s="95"/>
      <c r="E3" s="96" t="s">
        <v>146</v>
      </c>
      <c r="F3" s="96" t="s">
        <v>523</v>
      </c>
      <c r="G3" s="97" t="s">
        <v>688</v>
      </c>
      <c r="H3" s="95"/>
      <c r="I3" s="50">
        <f>VLOOKUP(J3,'Director &amp; ED Sep.25'!$C:$F,3,)</f>
        <v>4511150</v>
      </c>
      <c r="J3" s="21">
        <v>4511150</v>
      </c>
      <c r="K3" s="109" t="str">
        <f>VLOOKUP(J3,'Director &amp; ED Sep.25'!C:G,4,)</f>
        <v>Culture</v>
      </c>
      <c r="L3" s="95"/>
      <c r="M3" s="50">
        <f>VLOOKUP(N3,'Director &amp; ED Sep.25'!$C:$F,3,)</f>
        <v>4511800</v>
      </c>
      <c r="N3" s="21">
        <v>4511800</v>
      </c>
      <c r="O3" s="50" t="str">
        <f>VLOOKUP(N3,'Director &amp; ED Sep.25'!C:G,4,)</f>
        <v>Culture</v>
      </c>
      <c r="P3" s="95"/>
      <c r="Q3" s="94">
        <f>VLOOKUP(R3,'Director &amp; ED Sep.25'!$C:$F,3,)</f>
        <v>4513110</v>
      </c>
      <c r="R3" s="21">
        <v>4513110</v>
      </c>
      <c r="S3" s="50" t="str">
        <f>VLOOKUP(R3,'Director &amp; ED Sep.25'!C:G,4,)</f>
        <v>Strategic Marketing &amp; Communication</v>
      </c>
      <c r="T3" s="95"/>
      <c r="U3" s="50">
        <f>VLOOKUP(V3,'Director &amp; ED Sep.25'!$C:$F,3,)</f>
        <v>4515400</v>
      </c>
      <c r="V3" s="21">
        <v>4515400</v>
      </c>
      <c r="W3" s="50" t="str">
        <f>VLOOKUP(V3,'Director &amp; ED Sep.25'!C:G,4,)</f>
        <v>Tourism</v>
      </c>
      <c r="X3" s="95"/>
      <c r="Y3" s="101">
        <f>VLOOKUP(Z3,'Director &amp; ED Sep.25'!$C:$F,3,)</f>
        <v>4510011</v>
      </c>
      <c r="Z3" s="101">
        <v>4510011</v>
      </c>
      <c r="AA3" s="101" t="str">
        <f>VLOOKUP(Z3,'Director &amp; ED Sep.25'!C:G,4,)</f>
        <v xml:space="preserve">Executive Office </v>
      </c>
    </row>
    <row r="4" spans="1:27" x14ac:dyDescent="0.25">
      <c r="A4" s="50">
        <f>VLOOKUP(B4,'Director &amp; ED Sep.25'!$C:$F,3,)</f>
        <v>4510195</v>
      </c>
      <c r="B4" s="21">
        <v>4510195</v>
      </c>
      <c r="C4" s="50" t="str">
        <f>VLOOKUP(B4,'Director &amp; ED Sep.25'!C:G,4,)</f>
        <v>Arabic Language Centre</v>
      </c>
      <c r="D4" s="95"/>
      <c r="E4" s="96" t="s">
        <v>146</v>
      </c>
      <c r="F4" s="96" t="s">
        <v>523</v>
      </c>
      <c r="G4" s="97" t="s">
        <v>689</v>
      </c>
      <c r="H4" s="95"/>
      <c r="I4" s="50">
        <f>VLOOKUP(J4,'Director &amp; ED Sep.25'!$C:$F,3,)</f>
        <v>4511300</v>
      </c>
      <c r="J4" s="21">
        <v>4511300</v>
      </c>
      <c r="K4" s="109" t="str">
        <f>VLOOKUP(J4,'Director &amp; ED Sep.25'!C:G,4,)</f>
        <v>Culture</v>
      </c>
      <c r="L4" s="95"/>
      <c r="M4" s="50">
        <f>VLOOKUP(N4,'Director &amp; ED Sep.25'!$C:$F,3,)</f>
        <v>4511600</v>
      </c>
      <c r="N4" s="21">
        <v>4511600</v>
      </c>
      <c r="O4" s="50" t="str">
        <f>VLOOKUP(N4,'Director &amp; ED Sep.25'!C:G,4,)</f>
        <v>Culture</v>
      </c>
      <c r="P4" s="95"/>
      <c r="Q4" s="94">
        <f>VLOOKUP(R4,'Director &amp; ED Sep.25'!$C:$F,3,)</f>
        <v>4513120</v>
      </c>
      <c r="R4" s="21">
        <v>4513120</v>
      </c>
      <c r="S4" s="50" t="str">
        <f>VLOOKUP(R4,'Director &amp; ED Sep.25'!C:G,4,)</f>
        <v>Strategic Marketing &amp; Communication</v>
      </c>
      <c r="T4" s="95"/>
      <c r="U4" s="50">
        <f>VLOOKUP(V4,'Director &amp; ED Sep.25'!$C:$F,3,)</f>
        <v>4515700</v>
      </c>
      <c r="V4" s="21">
        <v>4515700</v>
      </c>
      <c r="W4" s="50" t="str">
        <f>VLOOKUP(V4,'Director &amp; ED Sep.25'!C:G,4,)</f>
        <v>Tourism</v>
      </c>
      <c r="X4" s="95"/>
      <c r="Y4" s="94">
        <f>VLOOKUP(Z4,'Director &amp; ED Sep.25'!$C:$F,3,)</f>
        <v>4510140</v>
      </c>
      <c r="Z4" s="21">
        <v>4510140</v>
      </c>
      <c r="AA4" s="50" t="str">
        <f>VLOOKUP(Z4,'Director &amp; ED Sep.25'!C:G,4,)</f>
        <v xml:space="preserve">Executive Office </v>
      </c>
    </row>
    <row r="5" spans="1:27" x14ac:dyDescent="0.25">
      <c r="A5" s="50">
        <f>VLOOKUP(B5,'Director &amp; ED Sep.25'!$C:$F,3,)</f>
        <v>4519203</v>
      </c>
      <c r="B5" s="21">
        <v>4519203</v>
      </c>
      <c r="C5" s="50" t="str">
        <f>VLOOKUP(B5,'Director &amp; ED Sep.25'!C:G,4,)</f>
        <v>Arabic Language Centre</v>
      </c>
      <c r="D5" s="95"/>
      <c r="E5" s="50">
        <f>VLOOKUP(F5,'Director &amp; ED Sep.25'!$C:$F,3,)</f>
        <v>4512010</v>
      </c>
      <c r="F5" s="50">
        <v>4512010</v>
      </c>
      <c r="G5" s="50" t="str">
        <f>VLOOKUP(F5,'Director &amp; ED Sep.25'!C:G,4,)</f>
        <v>Strategic Affairs</v>
      </c>
      <c r="H5" s="95"/>
      <c r="I5" s="50">
        <f>VLOOKUP(J5,'Director &amp; ED Sep.25'!$C:$F,3,)</f>
        <v>4511550</v>
      </c>
      <c r="J5" s="21">
        <v>4511550</v>
      </c>
      <c r="K5" s="109" t="str">
        <f>VLOOKUP(J5,'Director &amp; ED Sep.25'!C:G,4,)</f>
        <v>Culture</v>
      </c>
      <c r="L5" s="95"/>
      <c r="M5" s="50">
        <f>VLOOKUP(N5,'Director &amp; ED Sep.25'!$C:$F,3,)</f>
        <v>4516100</v>
      </c>
      <c r="N5" s="21">
        <v>4516100</v>
      </c>
      <c r="O5" s="50" t="str">
        <f>VLOOKUP(N5,'Director &amp; ED Sep.25'!C:G,4,)</f>
        <v>Culture</v>
      </c>
      <c r="P5" s="95"/>
      <c r="Q5" s="94">
        <f>VLOOKUP(R5,'Director &amp; ED Sep.25'!$C:$F,3,)</f>
        <v>4513130</v>
      </c>
      <c r="R5" s="21">
        <v>4513130</v>
      </c>
      <c r="S5" s="50" t="str">
        <f>VLOOKUP(R5,'Director &amp; ED Sep.25'!C:G,4,)</f>
        <v>Strategic Marketing &amp; Communication</v>
      </c>
      <c r="T5" s="95"/>
      <c r="U5" s="50">
        <f>VLOOKUP(V5,'Director &amp; ED Sep.25'!$C:$F,3,)</f>
        <v>4510170</v>
      </c>
      <c r="V5" s="21">
        <v>4510170</v>
      </c>
      <c r="W5" s="50" t="str">
        <f>VLOOKUP(V5,'Director &amp; ED Sep.25'!C:G,4,)</f>
        <v>Support Services</v>
      </c>
      <c r="X5" s="95"/>
      <c r="Y5" s="94">
        <f>VLOOKUP(Z5,'Director &amp; ED Sep.25'!$C:$F,3,)</f>
        <v>4510160</v>
      </c>
      <c r="Z5" s="21">
        <v>4510160</v>
      </c>
      <c r="AA5" s="50" t="str">
        <f>VLOOKUP(Z5,'Director &amp; ED Sep.25'!C:G,4,)</f>
        <v xml:space="preserve">Executive Office </v>
      </c>
    </row>
    <row r="6" spans="1:27" x14ac:dyDescent="0.25">
      <c r="A6" s="50">
        <f>VLOOKUP(B6,'Director &amp; ED Sep.25'!$C:$F,3,)</f>
        <v>4519199</v>
      </c>
      <c r="B6" s="21">
        <v>4519199</v>
      </c>
      <c r="C6" s="50" t="str">
        <f>VLOOKUP(B6,'Director &amp; ED Sep.25'!C:G,4,)</f>
        <v>Arabic Language Centre</v>
      </c>
      <c r="D6" s="95"/>
      <c r="E6" s="50">
        <f>VLOOKUP(F6,'Director &amp; ED Sep.25'!$C:$F,3,)</f>
        <v>4512100</v>
      </c>
      <c r="F6" s="50">
        <v>4512100</v>
      </c>
      <c r="G6" s="50" t="str">
        <f>VLOOKUP(F6,'Director &amp; ED Sep.25'!C:G,4,)</f>
        <v>Strategic Affairs</v>
      </c>
      <c r="H6" s="95"/>
      <c r="I6" s="50">
        <f>VLOOKUP(J6,'Director &amp; ED Sep.25'!$C:$F,3,)</f>
        <v>4511700</v>
      </c>
      <c r="J6" s="21">
        <v>4511700</v>
      </c>
      <c r="K6" s="109" t="str">
        <f>VLOOKUP(J6,'Director &amp; ED Sep.25'!C:G,4,)</f>
        <v>Culture</v>
      </c>
      <c r="L6" s="95"/>
      <c r="M6" s="50">
        <f>VLOOKUP(N6,'Director &amp; ED Sep.25'!$C:$F,3,)</f>
        <v>4511250</v>
      </c>
      <c r="N6" s="21">
        <v>4511250</v>
      </c>
      <c r="O6" s="50" t="str">
        <f>VLOOKUP(N6,'Director &amp; ED Sep.25'!C:G,4,)</f>
        <v>Culture</v>
      </c>
      <c r="P6" s="95"/>
      <c r="Q6" s="94">
        <f>VLOOKUP(R6,'Director &amp; ED Sep.25'!$C:$F,3,)</f>
        <v>4513140</v>
      </c>
      <c r="R6" s="21">
        <v>4513140</v>
      </c>
      <c r="S6" s="50" t="str">
        <f>VLOOKUP(R6,'Director &amp; ED Sep.25'!C:G,4,)</f>
        <v>Strategic Marketing &amp; Communication</v>
      </c>
      <c r="T6" s="95"/>
      <c r="U6" s="50">
        <f>VLOOKUP(V6,'Director &amp; ED Sep.25'!$C:$F,3,)</f>
        <v>4515900</v>
      </c>
      <c r="V6" s="21">
        <v>4515900</v>
      </c>
      <c r="W6" s="50" t="str">
        <f>VLOOKUP(V6,'Director &amp; ED Sep.25'!C:G,4,)</f>
        <v>Tourism</v>
      </c>
      <c r="X6" s="95"/>
      <c r="Y6" s="50">
        <f>VLOOKUP(Z6,'Director &amp; ED Sep.25'!$C:$F,3,)</f>
        <v>4510201</v>
      </c>
      <c r="Z6" s="21">
        <v>4510201</v>
      </c>
      <c r="AA6" s="50" t="str">
        <f>VLOOKUP(Z6,'Director &amp; ED Sep.25'!C:G,4,)</f>
        <v>Support Services</v>
      </c>
    </row>
    <row r="7" spans="1:27" x14ac:dyDescent="0.25">
      <c r="A7" s="96" t="s">
        <v>277</v>
      </c>
      <c r="B7" s="83">
        <v>4519204</v>
      </c>
      <c r="C7" s="96" t="s">
        <v>690</v>
      </c>
      <c r="D7" s="95"/>
      <c r="E7" s="50">
        <f>VLOOKUP(F7,'Director &amp; ED Sep.25'!$C:$F,3,)</f>
        <v>4512200</v>
      </c>
      <c r="F7" s="50">
        <v>4512200</v>
      </c>
      <c r="G7" s="50" t="str">
        <f>VLOOKUP(F7,'Director &amp; ED Sep.25'!C:G,4,)</f>
        <v>Strategic Affairs</v>
      </c>
      <c r="H7" s="95"/>
      <c r="I7" s="96" t="s">
        <v>62</v>
      </c>
      <c r="J7" s="53" t="s">
        <v>523</v>
      </c>
      <c r="K7" s="110" t="s">
        <v>691</v>
      </c>
      <c r="L7" s="95"/>
      <c r="N7" s="49"/>
      <c r="P7" s="95"/>
      <c r="Q7" s="94"/>
      <c r="R7" s="49"/>
      <c r="T7" s="95"/>
      <c r="U7" s="50">
        <f>VLOOKUP(V7,'Director &amp; ED Sep.25'!$C:$F,3,)</f>
        <v>4515100</v>
      </c>
      <c r="V7" s="45">
        <v>4515100</v>
      </c>
      <c r="W7" s="50" t="str">
        <f>VLOOKUP(V7,'Director &amp; ED Sep.25'!C:G,4,)</f>
        <v>Tourism</v>
      </c>
      <c r="X7" s="95"/>
      <c r="Y7" s="50">
        <f>VLOOKUP(Z7,'Director &amp; ED Sep.25'!$C:$F,3,)</f>
        <v>4510210</v>
      </c>
      <c r="Z7" s="21">
        <v>4510210</v>
      </c>
      <c r="AA7" s="50" t="str">
        <f>VLOOKUP(Z7,'Director &amp; ED Sep.25'!C:G,4,)</f>
        <v>Support Services</v>
      </c>
    </row>
    <row r="8" spans="1:27" x14ac:dyDescent="0.25">
      <c r="A8" s="50">
        <f>VLOOKUP(B8,'Director &amp; ED Sep.25'!$C:$F,3,)</f>
        <v>4519197</v>
      </c>
      <c r="B8" s="21">
        <v>4519197</v>
      </c>
      <c r="C8" s="50" t="str">
        <f>VLOOKUP(B8,'Director &amp; ED Sep.25'!C:G,4,)</f>
        <v>Arabic Language Centre</v>
      </c>
      <c r="D8" s="95"/>
      <c r="E8" s="50">
        <f>VLOOKUP(F8,'Director &amp; ED Sep.25'!$C:$F,3,)</f>
        <v>4512300</v>
      </c>
      <c r="F8" s="50">
        <v>4512300</v>
      </c>
      <c r="G8" s="50" t="str">
        <f>VLOOKUP(F8,'Director &amp; ED Sep.25'!C:G,4,)</f>
        <v>Strategic Affairs</v>
      </c>
      <c r="H8" s="95"/>
      <c r="L8" s="95"/>
      <c r="P8" s="95"/>
      <c r="T8" s="95"/>
      <c r="U8" s="50">
        <f>VLOOKUP(V8,'Director &amp; ED Sep.25'!$C:$F,3,)</f>
        <v>4515010</v>
      </c>
      <c r="V8" s="21">
        <v>4515010</v>
      </c>
      <c r="W8" s="102" t="str">
        <f>VLOOKUP(V8,'Director &amp; ED Sep.25'!C:G,4,)</f>
        <v>Tourism</v>
      </c>
      <c r="X8" s="95"/>
      <c r="Y8" s="50">
        <f>VLOOKUP(Z8,'Director &amp; ED Sep.25'!$C:$F,3,)</f>
        <v>4510220</v>
      </c>
      <c r="Z8" s="21">
        <v>4510220</v>
      </c>
      <c r="AA8" s="50" t="str">
        <f>VLOOKUP(Z8,'Director &amp; ED Sep.25'!C:G,4,)</f>
        <v>Support Services</v>
      </c>
    </row>
    <row r="9" spans="1:27" ht="30" x14ac:dyDescent="0.25">
      <c r="A9" s="50">
        <f>VLOOKUP(B9,'Director &amp; ED Sep.25'!$C:$F,3,)</f>
        <v>4519196</v>
      </c>
      <c r="B9" s="21">
        <v>4519196</v>
      </c>
      <c r="C9" s="50" t="str">
        <f>VLOOKUP(B9,'Director &amp; ED Sep.25'!C:G,4,)</f>
        <v>Arabic Language Centre</v>
      </c>
      <c r="D9" s="95"/>
      <c r="E9" s="96" t="s">
        <v>146</v>
      </c>
      <c r="F9" s="96">
        <v>4512500</v>
      </c>
      <c r="G9" s="96" t="s">
        <v>412</v>
      </c>
      <c r="H9" s="95"/>
      <c r="L9" s="95"/>
      <c r="P9" s="95"/>
      <c r="T9" s="95"/>
      <c r="U9" s="50">
        <f>VLOOKUP(V9,'Director &amp; ED Sep.25'!$C:$F,3,)</f>
        <v>4515020</v>
      </c>
      <c r="V9" s="21">
        <v>4515020</v>
      </c>
      <c r="W9" s="120" t="s">
        <v>504</v>
      </c>
      <c r="X9" s="95"/>
      <c r="Y9" s="50">
        <f>VLOOKUP(Z9,'Director &amp; ED Sep.25'!$C:$F,3,)</f>
        <v>4510240</v>
      </c>
      <c r="Z9" s="21">
        <v>4510240</v>
      </c>
      <c r="AA9" s="50" t="str">
        <f>VLOOKUP(Z9,'Director &amp; ED Sep.25'!C:G,4,)</f>
        <v>Support Services</v>
      </c>
    </row>
    <row r="10" spans="1:27" x14ac:dyDescent="0.25">
      <c r="A10" s="50">
        <f>VLOOKUP(B10,'Director &amp; ED Sep.25'!$C:$F,3,)</f>
        <v>4519200</v>
      </c>
      <c r="B10" s="21">
        <v>4519200</v>
      </c>
      <c r="C10" s="50" t="str">
        <f>VLOOKUP(B10,'Director &amp; ED Sep.25'!C:G,4,)</f>
        <v>Arabic Language Centre</v>
      </c>
      <c r="D10" s="95"/>
      <c r="H10" s="95"/>
      <c r="L10" s="95"/>
      <c r="P10" s="95"/>
      <c r="T10" s="95"/>
      <c r="X10" s="95"/>
      <c r="Y10" s="50">
        <f>VLOOKUP(Z10,'Director &amp; ED Sep.25'!$C:$F,3,)</f>
        <v>4510250</v>
      </c>
      <c r="Z10" s="21">
        <v>4510250</v>
      </c>
      <c r="AA10" s="50" t="str">
        <f>VLOOKUP(Z10,'Director &amp; ED Sep.25'!C:G,4,)</f>
        <v>Support Services</v>
      </c>
    </row>
    <row r="11" spans="1:27" x14ac:dyDescent="0.25">
      <c r="A11" s="50">
        <f>VLOOKUP(B11,'Director &amp; ED Sep.25'!$C:$F,3,)</f>
        <v>4519201</v>
      </c>
      <c r="B11" s="21">
        <v>4519201</v>
      </c>
      <c r="C11" s="50" t="str">
        <f>VLOOKUP(B11,'Director &amp; ED Sep.25'!C:G,4,)</f>
        <v>Arabic Language Centre</v>
      </c>
      <c r="D11" s="95"/>
      <c r="H11" s="95"/>
      <c r="L11" s="95"/>
      <c r="P11" s="95"/>
      <c r="T11" s="95"/>
      <c r="X11" s="95"/>
    </row>
    <row r="12" spans="1:27" x14ac:dyDescent="0.25">
      <c r="A12" s="50">
        <f>VLOOKUP(B12,'Director &amp; ED Sep.25'!$C:$F,3,)</f>
        <v>4519202</v>
      </c>
      <c r="B12" s="21">
        <v>4519202</v>
      </c>
      <c r="C12" s="50" t="str">
        <f>VLOOKUP(B12,'Director &amp; ED Sep.25'!C:G,4,)</f>
        <v>Arabic Language Centre</v>
      </c>
      <c r="D12" s="95"/>
      <c r="H12" s="95"/>
      <c r="L12" s="95"/>
      <c r="P12" s="95"/>
      <c r="T12" s="95"/>
      <c r="X12" s="95"/>
    </row>
    <row r="23" spans="10:11" hidden="1" x14ac:dyDescent="0.25">
      <c r="J23" s="21">
        <v>4510150</v>
      </c>
      <c r="K23" s="50" t="s">
        <v>692</v>
      </c>
    </row>
    <row r="24" spans="10:11" hidden="1" x14ac:dyDescent="0.25">
      <c r="J24" s="21">
        <v>4510155</v>
      </c>
      <c r="K24" s="50" t="s">
        <v>692</v>
      </c>
    </row>
    <row r="25" spans="10:11" hidden="1" x14ac:dyDescent="0.25">
      <c r="J25" s="21">
        <v>4510195</v>
      </c>
      <c r="K25" s="50" t="s">
        <v>692</v>
      </c>
    </row>
    <row r="26" spans="10:11" hidden="1" x14ac:dyDescent="0.25">
      <c r="J26" s="18">
        <v>4519203</v>
      </c>
      <c r="K26" s="50" t="s">
        <v>692</v>
      </c>
    </row>
    <row r="27" spans="10:11" hidden="1" x14ac:dyDescent="0.25">
      <c r="J27" s="18">
        <v>4519199</v>
      </c>
      <c r="K27" s="50" t="s">
        <v>692</v>
      </c>
    </row>
    <row r="28" spans="10:11" hidden="1" x14ac:dyDescent="0.25">
      <c r="J28" s="18">
        <v>4519197</v>
      </c>
      <c r="K28" s="50" t="s">
        <v>692</v>
      </c>
    </row>
    <row r="29" spans="10:11" hidden="1" x14ac:dyDescent="0.25">
      <c r="J29" s="18">
        <v>4519196</v>
      </c>
      <c r="K29" s="50" t="s">
        <v>692</v>
      </c>
    </row>
    <row r="30" spans="10:11" hidden="1" x14ac:dyDescent="0.25">
      <c r="J30" s="18">
        <v>4519200</v>
      </c>
      <c r="K30" s="50" t="s">
        <v>692</v>
      </c>
    </row>
    <row r="31" spans="10:11" hidden="1" x14ac:dyDescent="0.25">
      <c r="J31" s="18">
        <v>4519201</v>
      </c>
      <c r="K31" s="50" t="s">
        <v>692</v>
      </c>
    </row>
    <row r="32" spans="10:11" hidden="1" x14ac:dyDescent="0.25">
      <c r="J32" s="18">
        <v>4519202</v>
      </c>
      <c r="K32" s="50" t="s">
        <v>692</v>
      </c>
    </row>
    <row r="33" spans="10:11" hidden="1" x14ac:dyDescent="0.25">
      <c r="J33" s="21">
        <v>4518113</v>
      </c>
      <c r="K33" s="50" t="s">
        <v>693</v>
      </c>
    </row>
    <row r="34" spans="10:11" hidden="1" x14ac:dyDescent="0.25">
      <c r="J34" s="21">
        <v>4512010</v>
      </c>
      <c r="K34" s="50" t="s">
        <v>693</v>
      </c>
    </row>
    <row r="35" spans="10:11" hidden="1" x14ac:dyDescent="0.25">
      <c r="J35" s="23">
        <v>4512100</v>
      </c>
      <c r="K35" s="50" t="s">
        <v>693</v>
      </c>
    </row>
    <row r="36" spans="10:11" hidden="1" x14ac:dyDescent="0.25">
      <c r="J36" s="21">
        <v>4512200</v>
      </c>
      <c r="K36" s="50" t="s">
        <v>693</v>
      </c>
    </row>
    <row r="37" spans="10:11" hidden="1" x14ac:dyDescent="0.25">
      <c r="J37" s="21">
        <v>4512300</v>
      </c>
      <c r="K37" s="50" t="s">
        <v>693</v>
      </c>
    </row>
    <row r="38" spans="10:11" hidden="1" x14ac:dyDescent="0.25">
      <c r="J38" s="27">
        <v>4510011</v>
      </c>
      <c r="K38" s="50" t="s">
        <v>693</v>
      </c>
    </row>
    <row r="39" spans="10:11" hidden="1" x14ac:dyDescent="0.25">
      <c r="J39" s="21">
        <v>4511010</v>
      </c>
      <c r="K39" s="50" t="s">
        <v>694</v>
      </c>
    </row>
    <row r="40" spans="10:11" hidden="1" x14ac:dyDescent="0.25">
      <c r="J40" s="21">
        <v>4511150</v>
      </c>
      <c r="K40" s="50" t="s">
        <v>694</v>
      </c>
    </row>
    <row r="41" spans="10:11" hidden="1" x14ac:dyDescent="0.25">
      <c r="J41" s="21">
        <v>4511300</v>
      </c>
      <c r="K41" s="50" t="s">
        <v>694</v>
      </c>
    </row>
    <row r="42" spans="10:11" hidden="1" x14ac:dyDescent="0.25">
      <c r="J42" s="21">
        <v>4511550</v>
      </c>
      <c r="K42" s="50" t="s">
        <v>694</v>
      </c>
    </row>
    <row r="43" spans="10:11" hidden="1" x14ac:dyDescent="0.25">
      <c r="J43" s="21">
        <v>4511700</v>
      </c>
      <c r="K43" s="50" t="s">
        <v>694</v>
      </c>
    </row>
    <row r="44" spans="10:11" hidden="1" x14ac:dyDescent="0.25">
      <c r="J44" s="21">
        <v>4511750</v>
      </c>
      <c r="K44" s="50" t="s">
        <v>695</v>
      </c>
    </row>
    <row r="45" spans="10:11" hidden="1" x14ac:dyDescent="0.25">
      <c r="J45" s="21">
        <v>4511800</v>
      </c>
      <c r="K45" s="50" t="s">
        <v>695</v>
      </c>
    </row>
    <row r="46" spans="10:11" hidden="1" x14ac:dyDescent="0.25">
      <c r="J46" s="21">
        <v>4511600</v>
      </c>
      <c r="K46" s="50" t="s">
        <v>695</v>
      </c>
    </row>
    <row r="47" spans="10:11" hidden="1" x14ac:dyDescent="0.25">
      <c r="J47" s="21">
        <v>4516100</v>
      </c>
      <c r="K47" s="50" t="s">
        <v>695</v>
      </c>
    </row>
    <row r="48" spans="10:11" hidden="1" x14ac:dyDescent="0.25">
      <c r="J48" s="21">
        <v>4511250</v>
      </c>
      <c r="K48" s="50" t="s">
        <v>695</v>
      </c>
    </row>
    <row r="49" spans="10:11" hidden="1" x14ac:dyDescent="0.25">
      <c r="J49" s="21">
        <v>4515500</v>
      </c>
      <c r="K49" s="50" t="s">
        <v>696</v>
      </c>
    </row>
    <row r="50" spans="10:11" hidden="1" x14ac:dyDescent="0.25">
      <c r="J50" s="21">
        <v>4513110</v>
      </c>
      <c r="K50" s="50" t="s">
        <v>696</v>
      </c>
    </row>
    <row r="51" spans="10:11" hidden="1" x14ac:dyDescent="0.25">
      <c r="J51" s="21">
        <v>4513120</v>
      </c>
      <c r="K51" s="50" t="s">
        <v>696</v>
      </c>
    </row>
    <row r="52" spans="10:11" hidden="1" x14ac:dyDescent="0.25">
      <c r="J52" s="21">
        <v>4513130</v>
      </c>
      <c r="K52" s="50" t="s">
        <v>696</v>
      </c>
    </row>
    <row r="53" spans="10:11" hidden="1" x14ac:dyDescent="0.25">
      <c r="J53" s="21">
        <v>4513140</v>
      </c>
      <c r="K53" s="50" t="s">
        <v>696</v>
      </c>
    </row>
    <row r="54" spans="10:11" hidden="1" x14ac:dyDescent="0.25">
      <c r="J54" s="23">
        <v>4515300</v>
      </c>
      <c r="K54" s="50" t="s">
        <v>697</v>
      </c>
    </row>
    <row r="55" spans="10:11" hidden="1" x14ac:dyDescent="0.25">
      <c r="J55" s="21">
        <v>4515400</v>
      </c>
      <c r="K55" s="50" t="s">
        <v>697</v>
      </c>
    </row>
    <row r="56" spans="10:11" hidden="1" x14ac:dyDescent="0.25">
      <c r="J56" s="21">
        <v>4515700</v>
      </c>
      <c r="K56" s="50" t="s">
        <v>697</v>
      </c>
    </row>
    <row r="57" spans="10:11" hidden="1" x14ac:dyDescent="0.25">
      <c r="J57" s="21">
        <v>4510170</v>
      </c>
      <c r="K57" s="50" t="s">
        <v>697</v>
      </c>
    </row>
    <row r="58" spans="10:11" hidden="1" x14ac:dyDescent="0.25">
      <c r="J58" s="21">
        <v>4515900</v>
      </c>
      <c r="K58" s="50" t="s">
        <v>697</v>
      </c>
    </row>
    <row r="59" spans="10:11" hidden="1" x14ac:dyDescent="0.25">
      <c r="J59" s="45">
        <v>4515100</v>
      </c>
      <c r="K59" s="50" t="s">
        <v>697</v>
      </c>
    </row>
    <row r="60" spans="10:11" hidden="1" x14ac:dyDescent="0.25">
      <c r="J60" s="21">
        <v>4515010</v>
      </c>
      <c r="K60" s="50" t="s">
        <v>697</v>
      </c>
    </row>
    <row r="61" spans="10:11" hidden="1" x14ac:dyDescent="0.25">
      <c r="J61" s="21">
        <v>4515020</v>
      </c>
      <c r="K61" s="50" t="s">
        <v>697</v>
      </c>
    </row>
    <row r="62" spans="10:11" hidden="1" x14ac:dyDescent="0.25">
      <c r="J62" s="23">
        <v>4510110</v>
      </c>
      <c r="K62" s="50" t="s">
        <v>698</v>
      </c>
    </row>
    <row r="63" spans="10:11" hidden="1" x14ac:dyDescent="0.25">
      <c r="J63" s="21">
        <v>4510140</v>
      </c>
      <c r="K63" s="50" t="s">
        <v>698</v>
      </c>
    </row>
    <row r="64" spans="10:11" hidden="1" x14ac:dyDescent="0.25">
      <c r="J64" s="21">
        <v>4510160</v>
      </c>
      <c r="K64" s="50" t="s">
        <v>698</v>
      </c>
    </row>
    <row r="65" spans="10:11" hidden="1" x14ac:dyDescent="0.25">
      <c r="J65" s="21">
        <v>4510201</v>
      </c>
      <c r="K65" s="50" t="s">
        <v>698</v>
      </c>
    </row>
    <row r="66" spans="10:11" hidden="1" x14ac:dyDescent="0.25">
      <c r="J66" s="21">
        <v>4510210</v>
      </c>
      <c r="K66" s="50" t="s">
        <v>698</v>
      </c>
    </row>
    <row r="67" spans="10:11" hidden="1" x14ac:dyDescent="0.25">
      <c r="J67" s="21">
        <v>4510220</v>
      </c>
      <c r="K67" s="50" t="s">
        <v>698</v>
      </c>
    </row>
    <row r="68" spans="10:11" hidden="1" x14ac:dyDescent="0.25">
      <c r="J68" s="21">
        <v>4510240</v>
      </c>
      <c r="K68" s="50" t="s">
        <v>698</v>
      </c>
    </row>
    <row r="69" spans="10:11" hidden="1" x14ac:dyDescent="0.25">
      <c r="J69" s="21">
        <v>4510250</v>
      </c>
      <c r="K69" s="50" t="s">
        <v>698</v>
      </c>
    </row>
  </sheetData>
  <mergeCells count="7">
    <mergeCell ref="E1:G1"/>
    <mergeCell ref="A1:C1"/>
    <mergeCell ref="U1:W1"/>
    <mergeCell ref="Y1:AA1"/>
    <mergeCell ref="Q1:S1"/>
    <mergeCell ref="M1:O1"/>
    <mergeCell ref="I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342F-1FAD-43EB-910C-ED8FD8C44A1E}">
  <sheetPr codeName="Sheet11"/>
  <dimension ref="A1:L158"/>
  <sheetViews>
    <sheetView workbookViewId="0">
      <selection activeCell="B8" sqref="B8:B158"/>
    </sheetView>
  </sheetViews>
  <sheetFormatPr defaultRowHeight="15" x14ac:dyDescent="0.25"/>
  <cols>
    <col min="1" max="1" width="12.140625" bestFit="1" customWidth="1"/>
    <col min="2" max="2" width="80.85546875" customWidth="1"/>
    <col min="3" max="3" width="12.42578125" bestFit="1" customWidth="1"/>
    <col min="4" max="4" width="9.28515625" bestFit="1" customWidth="1"/>
    <col min="5" max="5" width="8.5703125" bestFit="1" customWidth="1"/>
    <col min="6" max="6" width="7.7109375" bestFit="1" customWidth="1"/>
    <col min="7" max="7" width="6.5703125" bestFit="1" customWidth="1"/>
    <col min="8" max="8" width="12" bestFit="1" customWidth="1"/>
    <col min="9" max="9" width="14.5703125" bestFit="1" customWidth="1"/>
    <col min="10" max="10" width="14.28515625" bestFit="1" customWidth="1"/>
    <col min="11" max="11" width="12.5703125" bestFit="1" customWidth="1"/>
    <col min="12" max="12" width="20.5703125" bestFit="1" customWidth="1"/>
  </cols>
  <sheetData>
    <row r="1" spans="1:12" ht="31.5" x14ac:dyDescent="0.25">
      <c r="A1" s="220" t="s">
        <v>577</v>
      </c>
      <c r="B1" s="220"/>
      <c r="C1" s="220"/>
      <c r="D1" s="220"/>
      <c r="E1" s="220"/>
      <c r="F1" s="221" t="s">
        <v>578</v>
      </c>
      <c r="G1" s="221"/>
      <c r="H1" s="221"/>
      <c r="I1" s="221"/>
      <c r="J1" s="221" t="s">
        <v>579</v>
      </c>
      <c r="K1" s="221"/>
      <c r="L1" s="121" t="s">
        <v>699</v>
      </c>
    </row>
    <row r="2" spans="1:12" ht="15.75" x14ac:dyDescent="0.25">
      <c r="A2" s="220" t="s">
        <v>580</v>
      </c>
      <c r="B2" s="220"/>
      <c r="C2" s="220"/>
      <c r="D2" s="220"/>
      <c r="E2" s="220"/>
      <c r="F2" s="220"/>
      <c r="G2" s="220"/>
      <c r="H2" s="218"/>
      <c r="I2" s="218"/>
      <c r="J2" s="218"/>
      <c r="K2" s="218"/>
      <c r="L2" s="218"/>
    </row>
    <row r="3" spans="1:12" ht="15.75" x14ac:dyDescent="0.25">
      <c r="A3" s="217" t="s">
        <v>581</v>
      </c>
      <c r="B3" s="217"/>
      <c r="C3" s="217"/>
      <c r="D3" s="217"/>
      <c r="E3" s="217"/>
      <c r="F3" s="217"/>
      <c r="G3" s="217"/>
      <c r="H3" s="218"/>
      <c r="I3" s="218"/>
      <c r="J3" s="219"/>
      <c r="K3" s="219"/>
      <c r="L3" s="219"/>
    </row>
    <row r="4" spans="1:12" x14ac:dyDescent="0.25">
      <c r="A4" s="78"/>
      <c r="B4" s="78"/>
      <c r="C4" s="78"/>
      <c r="D4" s="78"/>
      <c r="E4" s="219"/>
      <c r="F4" s="219"/>
      <c r="G4" s="78"/>
      <c r="H4" s="78"/>
      <c r="I4" s="78"/>
      <c r="J4" s="78"/>
      <c r="K4" s="78"/>
      <c r="L4" s="78"/>
    </row>
    <row r="6" spans="1:12" ht="30" x14ac:dyDescent="0.25">
      <c r="A6" s="79" t="s">
        <v>582</v>
      </c>
      <c r="B6" s="79" t="s">
        <v>583</v>
      </c>
      <c r="C6" s="79" t="s">
        <v>584</v>
      </c>
      <c r="D6" s="79" t="s">
        <v>585</v>
      </c>
      <c r="E6" s="79" t="s">
        <v>586</v>
      </c>
      <c r="F6" s="79" t="s">
        <v>587</v>
      </c>
      <c r="G6" s="79" t="s">
        <v>588</v>
      </c>
      <c r="H6" s="79" t="s">
        <v>589</v>
      </c>
      <c r="I6" s="79" t="s">
        <v>590</v>
      </c>
      <c r="J6" s="79" t="s">
        <v>591</v>
      </c>
      <c r="K6" s="79" t="s">
        <v>592</v>
      </c>
    </row>
    <row r="7" spans="1:12" ht="13.15" customHeight="1" x14ac:dyDescent="0.25">
      <c r="A7" s="115">
        <v>4.51</v>
      </c>
      <c r="B7" s="116"/>
      <c r="C7" s="80">
        <v>43516</v>
      </c>
      <c r="D7" s="81"/>
      <c r="E7" s="117">
        <v>40179</v>
      </c>
      <c r="F7" s="82" t="s">
        <v>597</v>
      </c>
      <c r="G7" s="82" t="s">
        <v>597</v>
      </c>
      <c r="H7" s="81"/>
      <c r="I7" s="83" t="s">
        <v>597</v>
      </c>
      <c r="J7" s="83" t="s">
        <v>597</v>
      </c>
      <c r="K7" s="84"/>
    </row>
    <row r="8" spans="1:12" ht="13.15" customHeight="1" x14ac:dyDescent="0.25">
      <c r="A8" s="83">
        <v>4510000</v>
      </c>
      <c r="B8" s="120" t="s">
        <v>595</v>
      </c>
      <c r="C8" s="80">
        <v>40330</v>
      </c>
      <c r="D8" s="81"/>
      <c r="E8" s="81"/>
      <c r="F8" s="82" t="s">
        <v>596</v>
      </c>
      <c r="G8" s="82" t="s">
        <v>596</v>
      </c>
      <c r="H8" s="81"/>
      <c r="I8" s="83" t="s">
        <v>597</v>
      </c>
      <c r="J8" s="83" t="s">
        <v>597</v>
      </c>
      <c r="K8" s="84"/>
    </row>
    <row r="9" spans="1:12" ht="13.15" customHeight="1" x14ac:dyDescent="0.25">
      <c r="A9" s="83">
        <v>4510001</v>
      </c>
      <c r="B9" s="120" t="s">
        <v>598</v>
      </c>
      <c r="C9" s="80">
        <v>40282</v>
      </c>
      <c r="D9" s="81"/>
      <c r="E9" s="81"/>
      <c r="F9" s="82" t="s">
        <v>596</v>
      </c>
      <c r="G9" s="82" t="s">
        <v>597</v>
      </c>
      <c r="H9" s="81"/>
      <c r="I9" s="83" t="s">
        <v>596</v>
      </c>
      <c r="J9" s="83" t="s">
        <v>596</v>
      </c>
      <c r="K9" s="84"/>
    </row>
    <row r="10" spans="1:12" ht="13.15" customHeight="1" x14ac:dyDescent="0.25">
      <c r="A10" s="83">
        <v>4510011</v>
      </c>
      <c r="B10" s="120" t="s">
        <v>386</v>
      </c>
      <c r="C10" s="80">
        <v>45314</v>
      </c>
      <c r="D10" s="81"/>
      <c r="E10" s="81"/>
      <c r="F10" s="82" t="s">
        <v>596</v>
      </c>
      <c r="G10" s="82" t="s">
        <v>597</v>
      </c>
      <c r="H10" s="81"/>
      <c r="I10" s="83" t="s">
        <v>596</v>
      </c>
      <c r="J10" s="83" t="s">
        <v>596</v>
      </c>
      <c r="K10" s="84"/>
    </row>
    <row r="11" spans="1:12" ht="13.15" customHeight="1" x14ac:dyDescent="0.25">
      <c r="A11" s="83">
        <v>4510100</v>
      </c>
      <c r="B11" s="120" t="s">
        <v>599</v>
      </c>
      <c r="C11" s="80">
        <v>41557</v>
      </c>
      <c r="D11" s="81"/>
      <c r="E11" s="81"/>
      <c r="F11" s="82" t="s">
        <v>596</v>
      </c>
      <c r="G11" s="82" t="s">
        <v>596</v>
      </c>
      <c r="H11" s="81"/>
      <c r="I11" s="83" t="s">
        <v>597</v>
      </c>
      <c r="J11" s="83" t="s">
        <v>597</v>
      </c>
      <c r="K11" s="84"/>
    </row>
    <row r="12" spans="1:12" ht="13.15" customHeight="1" x14ac:dyDescent="0.25">
      <c r="A12" s="83">
        <v>4510110</v>
      </c>
      <c r="B12" s="120" t="s">
        <v>358</v>
      </c>
      <c r="C12" s="80">
        <v>41557</v>
      </c>
      <c r="D12" s="81"/>
      <c r="E12" s="81"/>
      <c r="F12" s="82" t="s">
        <v>596</v>
      </c>
      <c r="G12" s="82" t="s">
        <v>597</v>
      </c>
      <c r="H12" s="81"/>
      <c r="I12" s="83" t="s">
        <v>596</v>
      </c>
      <c r="J12" s="83" t="s">
        <v>596</v>
      </c>
      <c r="K12" s="84"/>
    </row>
    <row r="13" spans="1:12" ht="13.15" customHeight="1" x14ac:dyDescent="0.25">
      <c r="A13" s="83">
        <v>4510120</v>
      </c>
      <c r="B13" s="120" t="s">
        <v>600</v>
      </c>
      <c r="C13" s="80">
        <v>41557</v>
      </c>
      <c r="D13" s="81"/>
      <c r="E13" s="81"/>
      <c r="F13" s="82" t="s">
        <v>596</v>
      </c>
      <c r="G13" s="82" t="s">
        <v>597</v>
      </c>
      <c r="H13" s="81"/>
      <c r="I13" s="83" t="s">
        <v>596</v>
      </c>
      <c r="J13" s="83" t="s">
        <v>596</v>
      </c>
      <c r="K13" s="84"/>
    </row>
    <row r="14" spans="1:12" ht="13.15" customHeight="1" x14ac:dyDescent="0.25">
      <c r="A14" s="83">
        <v>4510121</v>
      </c>
      <c r="B14" s="120" t="s">
        <v>601</v>
      </c>
      <c r="C14" s="80">
        <v>43415</v>
      </c>
      <c r="D14" s="81"/>
      <c r="E14" s="81"/>
      <c r="F14" s="82" t="s">
        <v>596</v>
      </c>
      <c r="G14" s="82" t="s">
        <v>597</v>
      </c>
      <c r="H14" s="81"/>
      <c r="I14" s="83" t="s">
        <v>596</v>
      </c>
      <c r="J14" s="83" t="s">
        <v>596</v>
      </c>
      <c r="K14" s="84"/>
    </row>
    <row r="15" spans="1:12" ht="13.15" customHeight="1" x14ac:dyDescent="0.25">
      <c r="A15" s="83">
        <v>4510122</v>
      </c>
      <c r="B15" s="120" t="s">
        <v>602</v>
      </c>
      <c r="C15" s="80">
        <v>43415</v>
      </c>
      <c r="D15" s="81"/>
      <c r="E15" s="81"/>
      <c r="F15" s="82" t="s">
        <v>596</v>
      </c>
      <c r="G15" s="82" t="s">
        <v>597</v>
      </c>
      <c r="H15" s="81"/>
      <c r="I15" s="83" t="s">
        <v>596</v>
      </c>
      <c r="J15" s="83" t="s">
        <v>596</v>
      </c>
      <c r="K15" s="84"/>
    </row>
    <row r="16" spans="1:12" ht="13.15" customHeight="1" x14ac:dyDescent="0.25">
      <c r="A16" s="83">
        <v>4510123</v>
      </c>
      <c r="B16" s="120" t="s">
        <v>603</v>
      </c>
      <c r="C16" s="80">
        <v>43415</v>
      </c>
      <c r="D16" s="81"/>
      <c r="E16" s="81"/>
      <c r="F16" s="82" t="s">
        <v>596</v>
      </c>
      <c r="G16" s="82" t="s">
        <v>597</v>
      </c>
      <c r="H16" s="81"/>
      <c r="I16" s="83" t="s">
        <v>596</v>
      </c>
      <c r="J16" s="83" t="s">
        <v>596</v>
      </c>
      <c r="K16" s="84"/>
    </row>
    <row r="17" spans="1:11" ht="13.15" customHeight="1" x14ac:dyDescent="0.25">
      <c r="A17" s="83">
        <v>4510124</v>
      </c>
      <c r="B17" s="120" t="s">
        <v>604</v>
      </c>
      <c r="C17" s="80">
        <v>43415</v>
      </c>
      <c r="D17" s="81"/>
      <c r="E17" s="81"/>
      <c r="F17" s="82" t="s">
        <v>596</v>
      </c>
      <c r="G17" s="82" t="s">
        <v>597</v>
      </c>
      <c r="H17" s="81"/>
      <c r="I17" s="83" t="s">
        <v>596</v>
      </c>
      <c r="J17" s="83" t="s">
        <v>596</v>
      </c>
      <c r="K17" s="84"/>
    </row>
    <row r="18" spans="1:11" ht="13.15" customHeight="1" x14ac:dyDescent="0.25">
      <c r="A18" s="83">
        <v>4510125</v>
      </c>
      <c r="B18" s="120" t="s">
        <v>605</v>
      </c>
      <c r="C18" s="80">
        <v>43415</v>
      </c>
      <c r="D18" s="81"/>
      <c r="E18" s="81"/>
      <c r="F18" s="82" t="s">
        <v>596</v>
      </c>
      <c r="G18" s="82" t="s">
        <v>597</v>
      </c>
      <c r="H18" s="81"/>
      <c r="I18" s="83" t="s">
        <v>596</v>
      </c>
      <c r="J18" s="83" t="s">
        <v>596</v>
      </c>
      <c r="K18" s="84"/>
    </row>
    <row r="19" spans="1:11" ht="13.15" customHeight="1" x14ac:dyDescent="0.25">
      <c r="A19" s="83">
        <v>4510126</v>
      </c>
      <c r="B19" s="120" t="s">
        <v>606</v>
      </c>
      <c r="C19" s="80">
        <v>43415</v>
      </c>
      <c r="D19" s="81"/>
      <c r="E19" s="81"/>
      <c r="F19" s="82" t="s">
        <v>596</v>
      </c>
      <c r="G19" s="82" t="s">
        <v>597</v>
      </c>
      <c r="H19" s="81"/>
      <c r="I19" s="83" t="s">
        <v>596</v>
      </c>
      <c r="J19" s="83" t="s">
        <v>596</v>
      </c>
      <c r="K19" s="84"/>
    </row>
    <row r="20" spans="1:11" ht="13.15" customHeight="1" x14ac:dyDescent="0.25">
      <c r="A20" s="83">
        <v>4510127</v>
      </c>
      <c r="B20" s="120" t="s">
        <v>607</v>
      </c>
      <c r="C20" s="80">
        <v>43415</v>
      </c>
      <c r="D20" s="81"/>
      <c r="E20" s="81"/>
      <c r="F20" s="82" t="s">
        <v>596</v>
      </c>
      <c r="G20" s="82" t="s">
        <v>597</v>
      </c>
      <c r="H20" s="81"/>
      <c r="I20" s="83" t="s">
        <v>596</v>
      </c>
      <c r="J20" s="83" t="s">
        <v>596</v>
      </c>
      <c r="K20" s="84"/>
    </row>
    <row r="21" spans="1:11" ht="13.15" customHeight="1" x14ac:dyDescent="0.25">
      <c r="A21" s="83">
        <v>4510130</v>
      </c>
      <c r="B21" s="120" t="s">
        <v>608</v>
      </c>
      <c r="C21" s="80">
        <v>41557</v>
      </c>
      <c r="D21" s="81"/>
      <c r="E21" s="81"/>
      <c r="F21" s="82" t="s">
        <v>596</v>
      </c>
      <c r="G21" s="82" t="s">
        <v>597</v>
      </c>
      <c r="H21" s="81"/>
      <c r="I21" s="83" t="s">
        <v>596</v>
      </c>
      <c r="J21" s="83" t="s">
        <v>596</v>
      </c>
      <c r="K21" s="84"/>
    </row>
    <row r="22" spans="1:11" ht="13.15" customHeight="1" x14ac:dyDescent="0.25">
      <c r="A22" s="83">
        <v>4510140</v>
      </c>
      <c r="B22" s="120" t="s">
        <v>367</v>
      </c>
      <c r="C22" s="80">
        <v>41557</v>
      </c>
      <c r="D22" s="81"/>
      <c r="E22" s="81"/>
      <c r="F22" s="82" t="s">
        <v>596</v>
      </c>
      <c r="G22" s="82" t="s">
        <v>597</v>
      </c>
      <c r="H22" s="81"/>
      <c r="I22" s="83" t="s">
        <v>596</v>
      </c>
      <c r="J22" s="83" t="s">
        <v>596</v>
      </c>
      <c r="K22" s="84"/>
    </row>
    <row r="23" spans="1:11" ht="13.15" customHeight="1" x14ac:dyDescent="0.25">
      <c r="A23" s="83">
        <v>4510142</v>
      </c>
      <c r="B23" s="120" t="s">
        <v>609</v>
      </c>
      <c r="C23" s="80">
        <v>45806</v>
      </c>
      <c r="D23" s="81"/>
      <c r="E23" s="81"/>
      <c r="F23" s="82" t="s">
        <v>596</v>
      </c>
      <c r="G23" s="82" t="s">
        <v>597</v>
      </c>
      <c r="H23" s="81"/>
      <c r="I23" s="83" t="s">
        <v>596</v>
      </c>
      <c r="J23" s="83" t="s">
        <v>596</v>
      </c>
      <c r="K23" s="84"/>
    </row>
    <row r="24" spans="1:11" ht="13.15" customHeight="1" x14ac:dyDescent="0.25">
      <c r="A24" s="83">
        <v>4510150</v>
      </c>
      <c r="B24" s="120" t="s">
        <v>372</v>
      </c>
      <c r="C24" s="80">
        <v>41557</v>
      </c>
      <c r="D24" s="81"/>
      <c r="E24" s="81"/>
      <c r="F24" s="82" t="s">
        <v>596</v>
      </c>
      <c r="G24" s="82" t="s">
        <v>597</v>
      </c>
      <c r="H24" s="81"/>
      <c r="I24" s="83" t="s">
        <v>596</v>
      </c>
      <c r="J24" s="83" t="s">
        <v>596</v>
      </c>
      <c r="K24" s="84"/>
    </row>
    <row r="25" spans="1:11" ht="13.15" customHeight="1" x14ac:dyDescent="0.25">
      <c r="A25" s="83">
        <v>4510155</v>
      </c>
      <c r="B25" s="120" t="s">
        <v>379</v>
      </c>
      <c r="C25" s="80">
        <v>43937</v>
      </c>
      <c r="D25" s="81"/>
      <c r="E25" s="81"/>
      <c r="F25" s="82" t="s">
        <v>596</v>
      </c>
      <c r="G25" s="82" t="s">
        <v>597</v>
      </c>
      <c r="H25" s="81"/>
      <c r="I25" s="83" t="s">
        <v>596</v>
      </c>
      <c r="J25" s="83" t="s">
        <v>596</v>
      </c>
      <c r="K25" s="84"/>
    </row>
    <row r="26" spans="1:11" ht="13.15" customHeight="1" x14ac:dyDescent="0.25">
      <c r="A26" s="83">
        <v>4510160</v>
      </c>
      <c r="B26" s="120" t="s">
        <v>382</v>
      </c>
      <c r="C26" s="80">
        <v>41557</v>
      </c>
      <c r="D26" s="81"/>
      <c r="E26" s="81"/>
      <c r="F26" s="82" t="s">
        <v>596</v>
      </c>
      <c r="G26" s="82" t="s">
        <v>597</v>
      </c>
      <c r="H26" s="81"/>
      <c r="I26" s="83" t="s">
        <v>596</v>
      </c>
      <c r="J26" s="83" t="s">
        <v>596</v>
      </c>
      <c r="K26" s="84"/>
    </row>
    <row r="27" spans="1:11" ht="13.15" customHeight="1" x14ac:dyDescent="0.25">
      <c r="A27" s="83">
        <v>4510170</v>
      </c>
      <c r="B27" s="120" t="s">
        <v>462</v>
      </c>
      <c r="C27" s="80">
        <v>42325</v>
      </c>
      <c r="D27" s="81"/>
      <c r="E27" s="81"/>
      <c r="F27" s="82" t="s">
        <v>596</v>
      </c>
      <c r="G27" s="82" t="s">
        <v>597</v>
      </c>
      <c r="H27" s="81"/>
      <c r="I27" s="83" t="s">
        <v>596</v>
      </c>
      <c r="J27" s="83" t="s">
        <v>596</v>
      </c>
      <c r="K27" s="84"/>
    </row>
    <row r="28" spans="1:11" ht="13.15" customHeight="1" x14ac:dyDescent="0.25">
      <c r="A28" s="83">
        <v>4510175</v>
      </c>
      <c r="B28" s="120" t="s">
        <v>610</v>
      </c>
      <c r="C28" s="80">
        <v>43859</v>
      </c>
      <c r="D28" s="81"/>
      <c r="E28" s="81"/>
      <c r="F28" s="82" t="s">
        <v>596</v>
      </c>
      <c r="G28" s="82" t="s">
        <v>597</v>
      </c>
      <c r="H28" s="81"/>
      <c r="I28" s="83" t="s">
        <v>596</v>
      </c>
      <c r="J28" s="83" t="s">
        <v>596</v>
      </c>
      <c r="K28" s="84"/>
    </row>
    <row r="29" spans="1:11" ht="13.15" customHeight="1" x14ac:dyDescent="0.25">
      <c r="A29" s="83">
        <v>4510180</v>
      </c>
      <c r="B29" s="120" t="s">
        <v>611</v>
      </c>
      <c r="C29" s="80">
        <v>43859</v>
      </c>
      <c r="D29" s="81"/>
      <c r="E29" s="81"/>
      <c r="F29" s="82" t="s">
        <v>596</v>
      </c>
      <c r="G29" s="82" t="s">
        <v>597</v>
      </c>
      <c r="H29" s="81"/>
      <c r="I29" s="83" t="s">
        <v>596</v>
      </c>
      <c r="J29" s="83" t="s">
        <v>596</v>
      </c>
      <c r="K29" s="84"/>
    </row>
    <row r="30" spans="1:11" ht="13.15" customHeight="1" x14ac:dyDescent="0.25">
      <c r="A30" s="83">
        <v>4510181</v>
      </c>
      <c r="B30" s="120" t="s">
        <v>612</v>
      </c>
      <c r="C30" s="80">
        <v>44712</v>
      </c>
      <c r="D30" s="81"/>
      <c r="E30" s="81"/>
      <c r="F30" s="82" t="s">
        <v>596</v>
      </c>
      <c r="G30" s="82" t="s">
        <v>597</v>
      </c>
      <c r="H30" s="81"/>
      <c r="I30" s="83" t="s">
        <v>596</v>
      </c>
      <c r="J30" s="83" t="s">
        <v>596</v>
      </c>
      <c r="K30" s="84"/>
    </row>
    <row r="31" spans="1:11" ht="13.15" customHeight="1" x14ac:dyDescent="0.25">
      <c r="A31" s="83">
        <v>4510182</v>
      </c>
      <c r="B31" s="120" t="s">
        <v>613</v>
      </c>
      <c r="C31" s="80">
        <v>44712</v>
      </c>
      <c r="D31" s="81"/>
      <c r="E31" s="81"/>
      <c r="F31" s="82" t="s">
        <v>596</v>
      </c>
      <c r="G31" s="82" t="s">
        <v>597</v>
      </c>
      <c r="H31" s="81"/>
      <c r="I31" s="83" t="s">
        <v>596</v>
      </c>
      <c r="J31" s="83" t="s">
        <v>596</v>
      </c>
      <c r="K31" s="84"/>
    </row>
    <row r="32" spans="1:11" ht="13.15" customHeight="1" x14ac:dyDescent="0.25">
      <c r="A32" s="83">
        <v>4510183</v>
      </c>
      <c r="B32" s="120" t="s">
        <v>614</v>
      </c>
      <c r="C32" s="80">
        <v>44712</v>
      </c>
      <c r="D32" s="81"/>
      <c r="E32" s="81"/>
      <c r="F32" s="82" t="s">
        <v>596</v>
      </c>
      <c r="G32" s="82" t="s">
        <v>597</v>
      </c>
      <c r="H32" s="81"/>
      <c r="I32" s="83" t="s">
        <v>596</v>
      </c>
      <c r="J32" s="83" t="s">
        <v>596</v>
      </c>
      <c r="K32" s="84"/>
    </row>
    <row r="33" spans="1:11" ht="13.15" customHeight="1" x14ac:dyDescent="0.25">
      <c r="A33" s="83">
        <v>4510184</v>
      </c>
      <c r="B33" s="120" t="s">
        <v>615</v>
      </c>
      <c r="C33" s="80">
        <v>44712</v>
      </c>
      <c r="D33" s="81"/>
      <c r="E33" s="81"/>
      <c r="F33" s="82" t="s">
        <v>596</v>
      </c>
      <c r="G33" s="82" t="s">
        <v>597</v>
      </c>
      <c r="H33" s="81"/>
      <c r="I33" s="83" t="s">
        <v>596</v>
      </c>
      <c r="J33" s="83" t="s">
        <v>596</v>
      </c>
      <c r="K33" s="84"/>
    </row>
    <row r="34" spans="1:11" ht="13.15" customHeight="1" x14ac:dyDescent="0.25">
      <c r="A34" s="83">
        <v>4510185</v>
      </c>
      <c r="B34" s="120" t="s">
        <v>616</v>
      </c>
      <c r="C34" s="80">
        <v>44712</v>
      </c>
      <c r="D34" s="81"/>
      <c r="E34" s="81"/>
      <c r="F34" s="82" t="s">
        <v>596</v>
      </c>
      <c r="G34" s="82" t="s">
        <v>597</v>
      </c>
      <c r="H34" s="81"/>
      <c r="I34" s="83" t="s">
        <v>596</v>
      </c>
      <c r="J34" s="83" t="s">
        <v>596</v>
      </c>
      <c r="K34" s="84"/>
    </row>
    <row r="35" spans="1:11" ht="13.15" customHeight="1" x14ac:dyDescent="0.25">
      <c r="A35" s="83">
        <v>4510186</v>
      </c>
      <c r="B35" s="120" t="s">
        <v>617</v>
      </c>
      <c r="C35" s="80">
        <v>44712</v>
      </c>
      <c r="D35" s="81"/>
      <c r="E35" s="81"/>
      <c r="F35" s="82" t="s">
        <v>596</v>
      </c>
      <c r="G35" s="82" t="s">
        <v>597</v>
      </c>
      <c r="H35" s="81"/>
      <c r="I35" s="83" t="s">
        <v>596</v>
      </c>
      <c r="J35" s="83" t="s">
        <v>596</v>
      </c>
      <c r="K35" s="84"/>
    </row>
    <row r="36" spans="1:11" ht="13.15" customHeight="1" x14ac:dyDescent="0.25">
      <c r="A36" s="83">
        <v>4510190</v>
      </c>
      <c r="B36" s="120" t="s">
        <v>618</v>
      </c>
      <c r="C36" s="80">
        <v>43859</v>
      </c>
      <c r="D36" s="81"/>
      <c r="E36" s="81"/>
      <c r="F36" s="82" t="s">
        <v>596</v>
      </c>
      <c r="G36" s="82" t="s">
        <v>597</v>
      </c>
      <c r="H36" s="81"/>
      <c r="I36" s="83" t="s">
        <v>596</v>
      </c>
      <c r="J36" s="83" t="s">
        <v>596</v>
      </c>
      <c r="K36" s="84"/>
    </row>
    <row r="37" spans="1:11" ht="13.15" customHeight="1" x14ac:dyDescent="0.25">
      <c r="A37" s="83">
        <v>4510195</v>
      </c>
      <c r="B37" s="120" t="s">
        <v>278</v>
      </c>
      <c r="C37" s="80">
        <v>44241</v>
      </c>
      <c r="D37" s="81"/>
      <c r="E37" s="81"/>
      <c r="F37" s="82" t="s">
        <v>596</v>
      </c>
      <c r="G37" s="82" t="s">
        <v>597</v>
      </c>
      <c r="H37" s="81"/>
      <c r="I37" s="83" t="s">
        <v>596</v>
      </c>
      <c r="J37" s="83" t="s">
        <v>596</v>
      </c>
      <c r="K37" s="84"/>
    </row>
    <row r="38" spans="1:11" ht="13.15" customHeight="1" x14ac:dyDescent="0.25">
      <c r="A38" s="83">
        <v>4510200</v>
      </c>
      <c r="B38" s="120" t="s">
        <v>619</v>
      </c>
      <c r="C38" s="80">
        <v>41557</v>
      </c>
      <c r="D38" s="81"/>
      <c r="E38" s="81"/>
      <c r="F38" s="82" t="s">
        <v>596</v>
      </c>
      <c r="G38" s="82" t="s">
        <v>596</v>
      </c>
      <c r="H38" s="81"/>
      <c r="I38" s="83" t="s">
        <v>597</v>
      </c>
      <c r="J38" s="83" t="s">
        <v>597</v>
      </c>
      <c r="K38" s="84"/>
    </row>
    <row r="39" spans="1:11" ht="13.15" customHeight="1" x14ac:dyDescent="0.25">
      <c r="A39" s="83">
        <v>4510201</v>
      </c>
      <c r="B39" s="120" t="s">
        <v>441</v>
      </c>
      <c r="C39" s="80">
        <v>41567</v>
      </c>
      <c r="D39" s="81"/>
      <c r="E39" s="81"/>
      <c r="F39" s="82" t="s">
        <v>596</v>
      </c>
      <c r="G39" s="82" t="s">
        <v>597</v>
      </c>
      <c r="H39" s="81"/>
      <c r="I39" s="83" t="s">
        <v>596</v>
      </c>
      <c r="J39" s="83" t="s">
        <v>596</v>
      </c>
      <c r="K39" s="84"/>
    </row>
    <row r="40" spans="1:11" ht="13.15" customHeight="1" x14ac:dyDescent="0.25">
      <c r="A40" s="83">
        <v>4510202</v>
      </c>
      <c r="B40" s="120" t="s">
        <v>565</v>
      </c>
      <c r="C40" s="80">
        <v>45120</v>
      </c>
      <c r="D40" s="81"/>
      <c r="E40" s="81"/>
      <c r="F40" s="82" t="s">
        <v>596</v>
      </c>
      <c r="G40" s="82" t="s">
        <v>597</v>
      </c>
      <c r="H40" s="81"/>
      <c r="I40" s="83" t="s">
        <v>596</v>
      </c>
      <c r="J40" s="83" t="s">
        <v>596</v>
      </c>
      <c r="K40" s="84"/>
    </row>
    <row r="41" spans="1:11" ht="13.15" customHeight="1" x14ac:dyDescent="0.25">
      <c r="A41" s="83">
        <v>4510210</v>
      </c>
      <c r="B41" s="120" t="s">
        <v>447</v>
      </c>
      <c r="C41" s="80">
        <v>40282</v>
      </c>
      <c r="D41" s="81"/>
      <c r="E41" s="81"/>
      <c r="F41" s="82" t="s">
        <v>596</v>
      </c>
      <c r="G41" s="82" t="s">
        <v>597</v>
      </c>
      <c r="H41" s="81"/>
      <c r="I41" s="83" t="s">
        <v>596</v>
      </c>
      <c r="J41" s="83" t="s">
        <v>596</v>
      </c>
      <c r="K41" s="84"/>
    </row>
    <row r="42" spans="1:11" ht="13.15" customHeight="1" x14ac:dyDescent="0.25">
      <c r="A42" s="83">
        <v>4510220</v>
      </c>
      <c r="B42" s="120" t="s">
        <v>450</v>
      </c>
      <c r="C42" s="80">
        <v>41557</v>
      </c>
      <c r="D42" s="81"/>
      <c r="E42" s="81"/>
      <c r="F42" s="82" t="s">
        <v>596</v>
      </c>
      <c r="G42" s="82" t="s">
        <v>597</v>
      </c>
      <c r="H42" s="81"/>
      <c r="I42" s="83" t="s">
        <v>596</v>
      </c>
      <c r="J42" s="83" t="s">
        <v>596</v>
      </c>
      <c r="K42" s="84"/>
    </row>
    <row r="43" spans="1:11" ht="13.15" customHeight="1" x14ac:dyDescent="0.25">
      <c r="A43" s="83">
        <v>4510230</v>
      </c>
      <c r="B43" s="120" t="s">
        <v>214</v>
      </c>
      <c r="C43" s="80">
        <v>41557</v>
      </c>
      <c r="D43" s="81"/>
      <c r="E43" s="81"/>
      <c r="F43" s="82" t="s">
        <v>596</v>
      </c>
      <c r="G43" s="82" t="s">
        <v>597</v>
      </c>
      <c r="H43" s="81"/>
      <c r="I43" s="83" t="s">
        <v>596</v>
      </c>
      <c r="J43" s="83" t="s">
        <v>596</v>
      </c>
      <c r="K43" s="84"/>
    </row>
    <row r="44" spans="1:11" ht="13.15" customHeight="1" x14ac:dyDescent="0.25">
      <c r="A44" s="83">
        <v>4510240</v>
      </c>
      <c r="B44" s="120" t="s">
        <v>452</v>
      </c>
      <c r="C44" s="80">
        <v>41557</v>
      </c>
      <c r="D44" s="81"/>
      <c r="E44" s="81"/>
      <c r="F44" s="82" t="s">
        <v>596</v>
      </c>
      <c r="G44" s="82" t="s">
        <v>597</v>
      </c>
      <c r="H44" s="81"/>
      <c r="I44" s="83" t="s">
        <v>596</v>
      </c>
      <c r="J44" s="83" t="s">
        <v>596</v>
      </c>
      <c r="K44" s="84"/>
    </row>
    <row r="45" spans="1:11" ht="13.15" customHeight="1" x14ac:dyDescent="0.25">
      <c r="A45" s="83">
        <v>4510250</v>
      </c>
      <c r="B45" s="120" t="s">
        <v>456</v>
      </c>
      <c r="C45" s="80">
        <v>41557</v>
      </c>
      <c r="D45" s="81"/>
      <c r="E45" s="81"/>
      <c r="F45" s="82" t="s">
        <v>596</v>
      </c>
      <c r="G45" s="82" t="s">
        <v>597</v>
      </c>
      <c r="H45" s="81"/>
      <c r="I45" s="83" t="s">
        <v>596</v>
      </c>
      <c r="J45" s="83" t="s">
        <v>596</v>
      </c>
      <c r="K45" s="84"/>
    </row>
    <row r="46" spans="1:11" ht="13.15" customHeight="1" x14ac:dyDescent="0.25">
      <c r="A46" s="83">
        <v>4510260</v>
      </c>
      <c r="B46" s="120" t="s">
        <v>620</v>
      </c>
      <c r="C46" s="80">
        <v>42871</v>
      </c>
      <c r="D46" s="81"/>
      <c r="E46" s="81"/>
      <c r="F46" s="82" t="s">
        <v>596</v>
      </c>
      <c r="G46" s="82" t="s">
        <v>597</v>
      </c>
      <c r="H46" s="81"/>
      <c r="I46" s="83" t="s">
        <v>596</v>
      </c>
      <c r="J46" s="83" t="s">
        <v>596</v>
      </c>
      <c r="K46" s="84"/>
    </row>
    <row r="47" spans="1:11" ht="13.15" customHeight="1" x14ac:dyDescent="0.25">
      <c r="A47" s="83">
        <v>4510270</v>
      </c>
      <c r="B47" s="120" t="s">
        <v>621</v>
      </c>
      <c r="C47" s="80">
        <v>43129</v>
      </c>
      <c r="D47" s="81"/>
      <c r="E47" s="81"/>
      <c r="F47" s="82" t="s">
        <v>596</v>
      </c>
      <c r="G47" s="82" t="s">
        <v>597</v>
      </c>
      <c r="H47" s="81"/>
      <c r="I47" s="83" t="s">
        <v>596</v>
      </c>
      <c r="J47" s="83" t="s">
        <v>596</v>
      </c>
      <c r="K47" s="84"/>
    </row>
    <row r="48" spans="1:11" ht="13.15" customHeight="1" x14ac:dyDescent="0.25">
      <c r="A48" s="83">
        <v>4510280</v>
      </c>
      <c r="B48" s="120" t="s">
        <v>385</v>
      </c>
      <c r="C48" s="80">
        <v>45932</v>
      </c>
      <c r="D48" s="81"/>
      <c r="E48" s="81"/>
      <c r="F48" s="82" t="s">
        <v>596</v>
      </c>
      <c r="G48" s="82" t="s">
        <v>597</v>
      </c>
      <c r="H48" s="81"/>
      <c r="I48" s="83" t="s">
        <v>596</v>
      </c>
      <c r="J48" s="83" t="s">
        <v>596</v>
      </c>
      <c r="K48" s="84"/>
    </row>
    <row r="49" spans="1:11" ht="13.15" customHeight="1" x14ac:dyDescent="0.25">
      <c r="A49" s="83">
        <v>4510310</v>
      </c>
      <c r="B49" s="120" t="s">
        <v>622</v>
      </c>
      <c r="C49" s="80">
        <v>45033</v>
      </c>
      <c r="D49" s="81"/>
      <c r="E49" s="81"/>
      <c r="F49" s="82" t="s">
        <v>596</v>
      </c>
      <c r="G49" s="82" t="s">
        <v>597</v>
      </c>
      <c r="H49" s="81"/>
      <c r="I49" s="83" t="s">
        <v>596</v>
      </c>
      <c r="J49" s="83" t="s">
        <v>596</v>
      </c>
      <c r="K49" s="84"/>
    </row>
    <row r="50" spans="1:11" ht="13.15" customHeight="1" x14ac:dyDescent="0.25">
      <c r="A50" s="83">
        <v>4510311</v>
      </c>
      <c r="B50" s="120" t="s">
        <v>700</v>
      </c>
      <c r="C50" s="80">
        <v>45890</v>
      </c>
      <c r="D50" s="81"/>
      <c r="E50" s="81"/>
      <c r="F50" s="82" t="s">
        <v>596</v>
      </c>
      <c r="G50" s="82" t="s">
        <v>597</v>
      </c>
      <c r="H50" s="81"/>
      <c r="I50" s="83" t="s">
        <v>596</v>
      </c>
      <c r="J50" s="83" t="s">
        <v>596</v>
      </c>
      <c r="K50" s="84"/>
    </row>
    <row r="51" spans="1:11" ht="13.15" customHeight="1" x14ac:dyDescent="0.25">
      <c r="A51" s="83">
        <v>4510320</v>
      </c>
      <c r="B51" s="120" t="s">
        <v>701</v>
      </c>
      <c r="C51" s="80">
        <v>45890</v>
      </c>
      <c r="D51" s="81"/>
      <c r="E51" s="81"/>
      <c r="F51" s="82" t="s">
        <v>596</v>
      </c>
      <c r="G51" s="82" t="s">
        <v>596</v>
      </c>
      <c r="H51" s="81"/>
      <c r="I51" s="83" t="s">
        <v>597</v>
      </c>
      <c r="J51" s="83" t="s">
        <v>597</v>
      </c>
      <c r="K51" s="84"/>
    </row>
    <row r="52" spans="1:11" ht="13.15" customHeight="1" x14ac:dyDescent="0.25">
      <c r="A52" s="83">
        <v>4510321</v>
      </c>
      <c r="B52" s="120" t="s">
        <v>702</v>
      </c>
      <c r="C52" s="80">
        <v>45890</v>
      </c>
      <c r="D52" s="81"/>
      <c r="E52" s="81"/>
      <c r="F52" s="82" t="s">
        <v>596</v>
      </c>
      <c r="G52" s="82" t="s">
        <v>597</v>
      </c>
      <c r="H52" s="81"/>
      <c r="I52" s="83" t="s">
        <v>596</v>
      </c>
      <c r="J52" s="83" t="s">
        <v>596</v>
      </c>
      <c r="K52" s="84"/>
    </row>
    <row r="53" spans="1:11" ht="13.15" customHeight="1" x14ac:dyDescent="0.25">
      <c r="A53" s="83">
        <v>4510322</v>
      </c>
      <c r="B53" s="120" t="s">
        <v>703</v>
      </c>
      <c r="C53" s="80">
        <v>45890</v>
      </c>
      <c r="D53" s="81"/>
      <c r="E53" s="81"/>
      <c r="F53" s="82" t="s">
        <v>596</v>
      </c>
      <c r="G53" s="82" t="s">
        <v>597</v>
      </c>
      <c r="H53" s="81"/>
      <c r="I53" s="83" t="s">
        <v>596</v>
      </c>
      <c r="J53" s="83" t="s">
        <v>596</v>
      </c>
      <c r="K53" s="84"/>
    </row>
    <row r="54" spans="1:11" ht="13.15" customHeight="1" x14ac:dyDescent="0.25">
      <c r="A54" s="83">
        <v>4510330</v>
      </c>
      <c r="B54" s="120" t="s">
        <v>704</v>
      </c>
      <c r="C54" s="80">
        <v>45890</v>
      </c>
      <c r="D54" s="81"/>
      <c r="E54" s="81"/>
      <c r="F54" s="82" t="s">
        <v>596</v>
      </c>
      <c r="G54" s="82" t="s">
        <v>596</v>
      </c>
      <c r="H54" s="81"/>
      <c r="I54" s="83" t="s">
        <v>597</v>
      </c>
      <c r="J54" s="83" t="s">
        <v>597</v>
      </c>
      <c r="K54" s="84"/>
    </row>
    <row r="55" spans="1:11" ht="13.15" customHeight="1" x14ac:dyDescent="0.25">
      <c r="A55" s="83">
        <v>4510331</v>
      </c>
      <c r="B55" s="120" t="s">
        <v>705</v>
      </c>
      <c r="C55" s="80">
        <v>45890</v>
      </c>
      <c r="D55" s="81"/>
      <c r="E55" s="81"/>
      <c r="F55" s="82" t="s">
        <v>596</v>
      </c>
      <c r="G55" s="82" t="s">
        <v>597</v>
      </c>
      <c r="H55" s="81"/>
      <c r="I55" s="83" t="s">
        <v>596</v>
      </c>
      <c r="J55" s="83" t="s">
        <v>596</v>
      </c>
      <c r="K55" s="84"/>
    </row>
    <row r="56" spans="1:11" ht="13.15" customHeight="1" x14ac:dyDescent="0.25">
      <c r="A56" s="83">
        <v>4510332</v>
      </c>
      <c r="B56" s="120" t="s">
        <v>706</v>
      </c>
      <c r="C56" s="80">
        <v>45890</v>
      </c>
      <c r="D56" s="81"/>
      <c r="E56" s="81"/>
      <c r="F56" s="82" t="s">
        <v>596</v>
      </c>
      <c r="G56" s="82" t="s">
        <v>597</v>
      </c>
      <c r="H56" s="81"/>
      <c r="I56" s="83" t="s">
        <v>596</v>
      </c>
      <c r="J56" s="83" t="s">
        <v>596</v>
      </c>
      <c r="K56" s="84"/>
    </row>
    <row r="57" spans="1:11" ht="13.15" customHeight="1" x14ac:dyDescent="0.25">
      <c r="A57" s="83">
        <v>4510340</v>
      </c>
      <c r="B57" s="120" t="s">
        <v>707</v>
      </c>
      <c r="C57" s="80">
        <v>45890</v>
      </c>
      <c r="D57" s="81"/>
      <c r="E57" s="81"/>
      <c r="F57" s="82" t="s">
        <v>596</v>
      </c>
      <c r="G57" s="82" t="s">
        <v>596</v>
      </c>
      <c r="H57" s="81"/>
      <c r="I57" s="83" t="s">
        <v>597</v>
      </c>
      <c r="J57" s="83" t="s">
        <v>597</v>
      </c>
      <c r="K57" s="84"/>
    </row>
    <row r="58" spans="1:11" ht="13.15" customHeight="1" x14ac:dyDescent="0.25">
      <c r="A58" s="83">
        <v>4510341</v>
      </c>
      <c r="B58" s="120" t="s">
        <v>708</v>
      </c>
      <c r="C58" s="80">
        <v>45890</v>
      </c>
      <c r="D58" s="81"/>
      <c r="E58" s="81"/>
      <c r="F58" s="82" t="s">
        <v>596</v>
      </c>
      <c r="G58" s="82" t="s">
        <v>597</v>
      </c>
      <c r="H58" s="81"/>
      <c r="I58" s="83" t="s">
        <v>596</v>
      </c>
      <c r="J58" s="83" t="s">
        <v>596</v>
      </c>
      <c r="K58" s="84"/>
    </row>
    <row r="59" spans="1:11" ht="13.15" customHeight="1" x14ac:dyDescent="0.3">
      <c r="A59" s="83">
        <v>4510342</v>
      </c>
      <c r="B59" s="120" t="s">
        <v>709</v>
      </c>
      <c r="C59" s="80">
        <v>45890</v>
      </c>
      <c r="D59" s="81"/>
      <c r="E59" s="81"/>
      <c r="F59" s="82" t="s">
        <v>596</v>
      </c>
      <c r="G59" s="82" t="s">
        <v>597</v>
      </c>
      <c r="H59" s="81"/>
      <c r="I59" s="83" t="s">
        <v>596</v>
      </c>
      <c r="J59" s="83" t="s">
        <v>596</v>
      </c>
      <c r="K59" s="84"/>
    </row>
    <row r="60" spans="1:11" ht="13.15" customHeight="1" x14ac:dyDescent="0.3">
      <c r="A60" s="83">
        <v>4510410</v>
      </c>
      <c r="B60" s="120" t="s">
        <v>633</v>
      </c>
      <c r="C60" s="80">
        <v>45033</v>
      </c>
      <c r="D60" s="81"/>
      <c r="E60" s="81"/>
      <c r="F60" s="82" t="s">
        <v>596</v>
      </c>
      <c r="G60" s="82" t="s">
        <v>597</v>
      </c>
      <c r="H60" s="81"/>
      <c r="I60" s="83" t="s">
        <v>596</v>
      </c>
      <c r="J60" s="83" t="s">
        <v>596</v>
      </c>
      <c r="K60" s="84"/>
    </row>
    <row r="61" spans="1:11" ht="13.15" customHeight="1" x14ac:dyDescent="0.3">
      <c r="A61" s="83">
        <v>4511000</v>
      </c>
      <c r="B61" s="120" t="s">
        <v>634</v>
      </c>
      <c r="C61" s="80">
        <v>40455</v>
      </c>
      <c r="D61" s="81"/>
      <c r="E61" s="81"/>
      <c r="F61" s="82" t="s">
        <v>596</v>
      </c>
      <c r="G61" s="82" t="s">
        <v>596</v>
      </c>
      <c r="H61" s="81"/>
      <c r="I61" s="83" t="s">
        <v>597</v>
      </c>
      <c r="J61" s="83" t="s">
        <v>597</v>
      </c>
      <c r="K61" s="84"/>
    </row>
    <row r="62" spans="1:11" ht="13.15" customHeight="1" x14ac:dyDescent="0.25">
      <c r="A62" s="83">
        <v>4511010</v>
      </c>
      <c r="B62" s="120" t="s">
        <v>81</v>
      </c>
      <c r="C62" s="80">
        <v>41567</v>
      </c>
      <c r="D62" s="81"/>
      <c r="E62" s="81"/>
      <c r="F62" s="82" t="s">
        <v>596</v>
      </c>
      <c r="G62" s="82" t="s">
        <v>597</v>
      </c>
      <c r="H62" s="81"/>
      <c r="I62" s="83" t="s">
        <v>596</v>
      </c>
      <c r="J62" s="83" t="s">
        <v>596</v>
      </c>
      <c r="K62" s="84"/>
    </row>
    <row r="63" spans="1:11" ht="13.15" customHeight="1" x14ac:dyDescent="0.25">
      <c r="A63" s="83">
        <v>4511011</v>
      </c>
      <c r="B63" s="120" t="s">
        <v>325</v>
      </c>
      <c r="C63" s="80">
        <v>45140</v>
      </c>
      <c r="D63" s="81"/>
      <c r="E63" s="81"/>
      <c r="F63" s="82" t="s">
        <v>596</v>
      </c>
      <c r="G63" s="82" t="s">
        <v>597</v>
      </c>
      <c r="H63" s="81"/>
      <c r="I63" s="83" t="s">
        <v>596</v>
      </c>
      <c r="J63" s="83" t="s">
        <v>596</v>
      </c>
      <c r="K63" s="84"/>
    </row>
    <row r="64" spans="1:11" ht="13.15" customHeight="1" x14ac:dyDescent="0.25">
      <c r="A64" s="83">
        <v>4511012</v>
      </c>
      <c r="B64" s="120" t="s">
        <v>635</v>
      </c>
      <c r="C64" s="80">
        <v>45120</v>
      </c>
      <c r="D64" s="81"/>
      <c r="E64" s="81"/>
      <c r="F64" s="82" t="s">
        <v>596</v>
      </c>
      <c r="G64" s="82" t="s">
        <v>597</v>
      </c>
      <c r="H64" s="81"/>
      <c r="I64" s="83" t="s">
        <v>596</v>
      </c>
      <c r="J64" s="83" t="s">
        <v>596</v>
      </c>
      <c r="K64" s="84"/>
    </row>
    <row r="65" spans="1:11" ht="13.15" customHeight="1" x14ac:dyDescent="0.25">
      <c r="A65" s="83">
        <v>4511020</v>
      </c>
      <c r="B65" s="120" t="s">
        <v>355</v>
      </c>
      <c r="C65" s="80">
        <v>45932</v>
      </c>
      <c r="D65" s="81"/>
      <c r="E65" s="81"/>
      <c r="F65" s="82" t="s">
        <v>596</v>
      </c>
      <c r="G65" s="82" t="s">
        <v>597</v>
      </c>
      <c r="H65" s="81"/>
      <c r="I65" s="83" t="s">
        <v>596</v>
      </c>
      <c r="J65" s="83" t="s">
        <v>596</v>
      </c>
      <c r="K65" s="84"/>
    </row>
    <row r="66" spans="1:11" ht="13.15" customHeight="1" x14ac:dyDescent="0.25">
      <c r="A66" s="83">
        <v>4511100</v>
      </c>
      <c r="B66" s="120" t="s">
        <v>636</v>
      </c>
      <c r="C66" s="80">
        <v>41557</v>
      </c>
      <c r="D66" s="81"/>
      <c r="E66" s="81"/>
      <c r="F66" s="82" t="s">
        <v>596</v>
      </c>
      <c r="G66" s="82" t="s">
        <v>597</v>
      </c>
      <c r="H66" s="81"/>
      <c r="I66" s="83" t="s">
        <v>596</v>
      </c>
      <c r="J66" s="83" t="s">
        <v>596</v>
      </c>
      <c r="K66" s="84"/>
    </row>
    <row r="67" spans="1:11" ht="13.15" customHeight="1" x14ac:dyDescent="0.25">
      <c r="A67" s="83">
        <v>4511150</v>
      </c>
      <c r="B67" s="120" t="s">
        <v>331</v>
      </c>
      <c r="C67" s="80">
        <v>43129</v>
      </c>
      <c r="D67" s="81"/>
      <c r="E67" s="81"/>
      <c r="F67" s="82" t="s">
        <v>596</v>
      </c>
      <c r="G67" s="82" t="s">
        <v>597</v>
      </c>
      <c r="H67" s="81"/>
      <c r="I67" s="83" t="s">
        <v>596</v>
      </c>
      <c r="J67" s="83" t="s">
        <v>596</v>
      </c>
      <c r="K67" s="84"/>
    </row>
    <row r="68" spans="1:11" ht="13.15" customHeight="1" x14ac:dyDescent="0.25">
      <c r="A68" s="83">
        <v>4511200</v>
      </c>
      <c r="B68" s="120" t="s">
        <v>637</v>
      </c>
      <c r="C68" s="80">
        <v>41631</v>
      </c>
      <c r="D68" s="81"/>
      <c r="E68" s="81"/>
      <c r="F68" s="82" t="s">
        <v>596</v>
      </c>
      <c r="G68" s="82" t="s">
        <v>597</v>
      </c>
      <c r="H68" s="81"/>
      <c r="I68" s="83" t="s">
        <v>596</v>
      </c>
      <c r="J68" s="83" t="s">
        <v>596</v>
      </c>
      <c r="K68" s="84"/>
    </row>
    <row r="69" spans="1:11" ht="13.15" customHeight="1" x14ac:dyDescent="0.25">
      <c r="A69" s="83">
        <v>4511250</v>
      </c>
      <c r="B69" s="120" t="s">
        <v>332</v>
      </c>
      <c r="C69" s="80">
        <v>41631</v>
      </c>
      <c r="D69" s="81"/>
      <c r="E69" s="81"/>
      <c r="F69" s="82" t="s">
        <v>596</v>
      </c>
      <c r="G69" s="82" t="s">
        <v>597</v>
      </c>
      <c r="H69" s="81"/>
      <c r="I69" s="83" t="s">
        <v>596</v>
      </c>
      <c r="J69" s="83" t="s">
        <v>596</v>
      </c>
      <c r="K69" s="84"/>
    </row>
    <row r="70" spans="1:11" ht="13.15" customHeight="1" x14ac:dyDescent="0.25">
      <c r="A70" s="83">
        <v>4511300</v>
      </c>
      <c r="B70" s="120" t="s">
        <v>66</v>
      </c>
      <c r="C70" s="80">
        <v>41631</v>
      </c>
      <c r="D70" s="81"/>
      <c r="E70" s="81"/>
      <c r="F70" s="82" t="s">
        <v>596</v>
      </c>
      <c r="G70" s="82" t="s">
        <v>597</v>
      </c>
      <c r="H70" s="81"/>
      <c r="I70" s="83" t="s">
        <v>596</v>
      </c>
      <c r="J70" s="83" t="s">
        <v>596</v>
      </c>
      <c r="K70" s="84"/>
    </row>
    <row r="71" spans="1:11" ht="13.15" customHeight="1" x14ac:dyDescent="0.25">
      <c r="A71" s="83">
        <v>4511400</v>
      </c>
      <c r="B71" s="120" t="s">
        <v>638</v>
      </c>
      <c r="C71" s="80">
        <v>41557</v>
      </c>
      <c r="D71" s="81"/>
      <c r="E71" s="81"/>
      <c r="F71" s="82" t="s">
        <v>596</v>
      </c>
      <c r="G71" s="82" t="s">
        <v>597</v>
      </c>
      <c r="H71" s="81"/>
      <c r="I71" s="83" t="s">
        <v>596</v>
      </c>
      <c r="J71" s="83" t="s">
        <v>596</v>
      </c>
      <c r="K71" s="84"/>
    </row>
    <row r="72" spans="1:11" ht="13.15" customHeight="1" x14ac:dyDescent="0.25">
      <c r="A72" s="83">
        <v>4511500</v>
      </c>
      <c r="B72" s="120" t="s">
        <v>639</v>
      </c>
      <c r="C72" s="80">
        <v>41631</v>
      </c>
      <c r="D72" s="81"/>
      <c r="E72" s="81"/>
      <c r="F72" s="82" t="s">
        <v>596</v>
      </c>
      <c r="G72" s="82" t="s">
        <v>597</v>
      </c>
      <c r="H72" s="81"/>
      <c r="I72" s="83" t="s">
        <v>596</v>
      </c>
      <c r="J72" s="83" t="s">
        <v>596</v>
      </c>
      <c r="K72" s="84"/>
    </row>
    <row r="73" spans="1:11" ht="13.15" customHeight="1" x14ac:dyDescent="0.25">
      <c r="A73" s="83">
        <v>4511550</v>
      </c>
      <c r="B73" s="120" t="s">
        <v>339</v>
      </c>
      <c r="C73" s="80">
        <v>43859</v>
      </c>
      <c r="D73" s="81"/>
      <c r="E73" s="81"/>
      <c r="F73" s="82" t="s">
        <v>596</v>
      </c>
      <c r="G73" s="82" t="s">
        <v>597</v>
      </c>
      <c r="H73" s="81"/>
      <c r="I73" s="83" t="s">
        <v>596</v>
      </c>
      <c r="J73" s="83" t="s">
        <v>596</v>
      </c>
      <c r="K73" s="84"/>
    </row>
    <row r="74" spans="1:11" ht="13.15" customHeight="1" x14ac:dyDescent="0.25">
      <c r="A74" s="83">
        <v>4511600</v>
      </c>
      <c r="B74" s="120" t="s">
        <v>312</v>
      </c>
      <c r="C74" s="80">
        <v>41631</v>
      </c>
      <c r="D74" s="81"/>
      <c r="E74" s="81"/>
      <c r="F74" s="82" t="s">
        <v>596</v>
      </c>
      <c r="G74" s="82" t="s">
        <v>597</v>
      </c>
      <c r="H74" s="81"/>
      <c r="I74" s="83" t="s">
        <v>596</v>
      </c>
      <c r="J74" s="83" t="s">
        <v>596</v>
      </c>
      <c r="K74" s="84"/>
    </row>
    <row r="75" spans="1:11" ht="13.15" customHeight="1" x14ac:dyDescent="0.25">
      <c r="A75" s="83">
        <v>4511700</v>
      </c>
      <c r="B75" s="120" t="s">
        <v>343</v>
      </c>
      <c r="C75" s="80">
        <v>41631</v>
      </c>
      <c r="D75" s="81"/>
      <c r="E75" s="81"/>
      <c r="F75" s="82" t="s">
        <v>596</v>
      </c>
      <c r="G75" s="82" t="s">
        <v>597</v>
      </c>
      <c r="H75" s="81"/>
      <c r="I75" s="83" t="s">
        <v>596</v>
      </c>
      <c r="J75" s="83" t="s">
        <v>596</v>
      </c>
      <c r="K75" s="84"/>
    </row>
    <row r="76" spans="1:11" ht="13.15" customHeight="1" x14ac:dyDescent="0.25">
      <c r="A76" s="83">
        <v>4511750</v>
      </c>
      <c r="B76" s="120" t="s">
        <v>346</v>
      </c>
      <c r="C76" s="80">
        <v>44039</v>
      </c>
      <c r="D76" s="81"/>
      <c r="E76" s="81"/>
      <c r="F76" s="82" t="s">
        <v>596</v>
      </c>
      <c r="G76" s="82" t="s">
        <v>597</v>
      </c>
      <c r="H76" s="81"/>
      <c r="I76" s="83" t="s">
        <v>596</v>
      </c>
      <c r="J76" s="83" t="s">
        <v>596</v>
      </c>
      <c r="K76" s="84"/>
    </row>
    <row r="77" spans="1:11" ht="13.15" customHeight="1" x14ac:dyDescent="0.25">
      <c r="A77" s="83">
        <v>4511800</v>
      </c>
      <c r="B77" s="120" t="s">
        <v>351</v>
      </c>
      <c r="C77" s="80">
        <v>41631</v>
      </c>
      <c r="D77" s="81"/>
      <c r="E77" s="81"/>
      <c r="F77" s="82" t="s">
        <v>596</v>
      </c>
      <c r="G77" s="82" t="s">
        <v>597</v>
      </c>
      <c r="H77" s="81"/>
      <c r="I77" s="83" t="s">
        <v>596</v>
      </c>
      <c r="J77" s="83" t="s">
        <v>596</v>
      </c>
      <c r="K77" s="84"/>
    </row>
    <row r="78" spans="1:11" ht="13.15" customHeight="1" x14ac:dyDescent="0.25">
      <c r="A78" s="83">
        <v>4511900</v>
      </c>
      <c r="B78" s="120" t="s">
        <v>640</v>
      </c>
      <c r="C78" s="80">
        <v>43508</v>
      </c>
      <c r="D78" s="81"/>
      <c r="E78" s="81"/>
      <c r="F78" s="82" t="s">
        <v>596</v>
      </c>
      <c r="G78" s="82" t="s">
        <v>597</v>
      </c>
      <c r="H78" s="81"/>
      <c r="I78" s="83" t="s">
        <v>596</v>
      </c>
      <c r="J78" s="83" t="s">
        <v>596</v>
      </c>
      <c r="K78" s="84"/>
    </row>
    <row r="79" spans="1:11" ht="13.15" customHeight="1" x14ac:dyDescent="0.25">
      <c r="A79" s="83">
        <v>4511950</v>
      </c>
      <c r="B79" s="120" t="s">
        <v>641</v>
      </c>
      <c r="C79" s="80">
        <v>43508</v>
      </c>
      <c r="D79" s="81"/>
      <c r="E79" s="81"/>
      <c r="F79" s="82" t="s">
        <v>596</v>
      </c>
      <c r="G79" s="82" t="s">
        <v>597</v>
      </c>
      <c r="H79" s="81"/>
      <c r="I79" s="83" t="s">
        <v>596</v>
      </c>
      <c r="J79" s="83" t="s">
        <v>596</v>
      </c>
      <c r="K79" s="84"/>
    </row>
    <row r="80" spans="1:11" ht="13.15" customHeight="1" x14ac:dyDescent="0.25">
      <c r="A80" s="83">
        <v>4512000</v>
      </c>
      <c r="B80" s="120" t="s">
        <v>642</v>
      </c>
      <c r="C80" s="80">
        <v>43129</v>
      </c>
      <c r="D80" s="81"/>
      <c r="E80" s="81"/>
      <c r="F80" s="82" t="s">
        <v>596</v>
      </c>
      <c r="G80" s="82" t="s">
        <v>596</v>
      </c>
      <c r="H80" s="81"/>
      <c r="I80" s="83" t="s">
        <v>597</v>
      </c>
      <c r="J80" s="83" t="s">
        <v>597</v>
      </c>
      <c r="K80" s="84"/>
    </row>
    <row r="81" spans="1:11" ht="13.15" customHeight="1" x14ac:dyDescent="0.25">
      <c r="A81" s="83">
        <v>4512010</v>
      </c>
      <c r="B81" s="120" t="s">
        <v>387</v>
      </c>
      <c r="C81" s="80">
        <v>43164</v>
      </c>
      <c r="D81" s="81"/>
      <c r="E81" s="81"/>
      <c r="F81" s="82" t="s">
        <v>596</v>
      </c>
      <c r="G81" s="82" t="s">
        <v>597</v>
      </c>
      <c r="H81" s="81"/>
      <c r="I81" s="83" t="s">
        <v>596</v>
      </c>
      <c r="J81" s="83" t="s">
        <v>596</v>
      </c>
      <c r="K81" s="84"/>
    </row>
    <row r="82" spans="1:11" ht="13.15" customHeight="1" x14ac:dyDescent="0.25">
      <c r="A82" s="83">
        <v>4512100</v>
      </c>
      <c r="B82" s="120" t="s">
        <v>394</v>
      </c>
      <c r="C82" s="80">
        <v>43129</v>
      </c>
      <c r="D82" s="81"/>
      <c r="E82" s="81"/>
      <c r="F82" s="82" t="s">
        <v>596</v>
      </c>
      <c r="G82" s="82" t="s">
        <v>597</v>
      </c>
      <c r="H82" s="81"/>
      <c r="I82" s="83" t="s">
        <v>596</v>
      </c>
      <c r="J82" s="83" t="s">
        <v>596</v>
      </c>
      <c r="K82" s="84"/>
    </row>
    <row r="83" spans="1:11" ht="13.15" customHeight="1" x14ac:dyDescent="0.25">
      <c r="A83" s="83">
        <v>4512200</v>
      </c>
      <c r="B83" s="120" t="s">
        <v>400</v>
      </c>
      <c r="C83" s="80">
        <v>43129</v>
      </c>
      <c r="D83" s="81"/>
      <c r="E83" s="81"/>
      <c r="F83" s="82" t="s">
        <v>596</v>
      </c>
      <c r="G83" s="82" t="s">
        <v>597</v>
      </c>
      <c r="H83" s="81"/>
      <c r="I83" s="83" t="s">
        <v>596</v>
      </c>
      <c r="J83" s="83" t="s">
        <v>596</v>
      </c>
      <c r="K83" s="84"/>
    </row>
    <row r="84" spans="1:11" ht="13.15" customHeight="1" x14ac:dyDescent="0.25">
      <c r="A84" s="83">
        <v>4512300</v>
      </c>
      <c r="B84" s="120" t="s">
        <v>406</v>
      </c>
      <c r="C84" s="80">
        <v>43129</v>
      </c>
      <c r="D84" s="81"/>
      <c r="E84" s="81"/>
      <c r="F84" s="82" t="s">
        <v>596</v>
      </c>
      <c r="G84" s="82" t="s">
        <v>597</v>
      </c>
      <c r="H84" s="81"/>
      <c r="I84" s="83" t="s">
        <v>596</v>
      </c>
      <c r="J84" s="83" t="s">
        <v>596</v>
      </c>
      <c r="K84" s="84"/>
    </row>
    <row r="85" spans="1:11" ht="13.15" customHeight="1" x14ac:dyDescent="0.25">
      <c r="A85" s="83">
        <v>4512400</v>
      </c>
      <c r="B85" s="120" t="s">
        <v>643</v>
      </c>
      <c r="C85" s="80">
        <v>43129</v>
      </c>
      <c r="D85" s="81"/>
      <c r="E85" s="81"/>
      <c r="F85" s="82" t="s">
        <v>596</v>
      </c>
      <c r="G85" s="82" t="s">
        <v>597</v>
      </c>
      <c r="H85" s="81"/>
      <c r="I85" s="83" t="s">
        <v>596</v>
      </c>
      <c r="J85" s="83" t="s">
        <v>596</v>
      </c>
      <c r="K85" s="84"/>
    </row>
    <row r="86" spans="1:11" ht="13.15" customHeight="1" x14ac:dyDescent="0.25">
      <c r="A86" s="83">
        <v>4512500</v>
      </c>
      <c r="B86" s="120" t="s">
        <v>412</v>
      </c>
      <c r="C86" s="80">
        <v>45932</v>
      </c>
      <c r="D86" s="81"/>
      <c r="E86" s="81"/>
      <c r="F86" s="82" t="s">
        <v>596</v>
      </c>
      <c r="G86" s="82" t="s">
        <v>597</v>
      </c>
      <c r="H86" s="81"/>
      <c r="I86" s="83" t="s">
        <v>596</v>
      </c>
      <c r="J86" s="83" t="s">
        <v>596</v>
      </c>
      <c r="K86" s="84"/>
    </row>
    <row r="87" spans="1:11" ht="13.15" customHeight="1" x14ac:dyDescent="0.25">
      <c r="A87" s="83">
        <v>4512600</v>
      </c>
      <c r="B87" s="120" t="s">
        <v>425</v>
      </c>
      <c r="C87" s="80">
        <v>45932</v>
      </c>
      <c r="D87" s="81"/>
      <c r="E87" s="81"/>
      <c r="F87" s="82" t="s">
        <v>596</v>
      </c>
      <c r="G87" s="82" t="s">
        <v>597</v>
      </c>
      <c r="H87" s="81"/>
      <c r="I87" s="83" t="s">
        <v>596</v>
      </c>
      <c r="J87" s="83" t="s">
        <v>596</v>
      </c>
      <c r="K87" s="84"/>
    </row>
    <row r="88" spans="1:11" ht="13.15" customHeight="1" x14ac:dyDescent="0.25">
      <c r="A88" s="83">
        <v>4512700</v>
      </c>
      <c r="B88" s="120" t="s">
        <v>430</v>
      </c>
      <c r="C88" s="80">
        <v>45932</v>
      </c>
      <c r="D88" s="81"/>
      <c r="E88" s="81"/>
      <c r="F88" s="82" t="s">
        <v>596</v>
      </c>
      <c r="G88" s="82" t="s">
        <v>597</v>
      </c>
      <c r="H88" s="81"/>
      <c r="I88" s="83" t="s">
        <v>596</v>
      </c>
      <c r="J88" s="83" t="s">
        <v>596</v>
      </c>
      <c r="K88" s="84"/>
    </row>
    <row r="89" spans="1:11" ht="13.15" customHeight="1" x14ac:dyDescent="0.25">
      <c r="A89" s="83">
        <v>4513000</v>
      </c>
      <c r="B89" s="120" t="s">
        <v>644</v>
      </c>
      <c r="C89" s="80">
        <v>41557</v>
      </c>
      <c r="D89" s="81"/>
      <c r="E89" s="81"/>
      <c r="F89" s="82" t="s">
        <v>596</v>
      </c>
      <c r="G89" s="82" t="s">
        <v>596</v>
      </c>
      <c r="H89" s="81"/>
      <c r="I89" s="83" t="s">
        <v>597</v>
      </c>
      <c r="J89" s="83" t="s">
        <v>597</v>
      </c>
      <c r="K89" s="84"/>
    </row>
    <row r="90" spans="1:11" ht="13.15" customHeight="1" x14ac:dyDescent="0.25">
      <c r="A90" s="83">
        <v>4513010</v>
      </c>
      <c r="B90" s="120" t="s">
        <v>645</v>
      </c>
      <c r="C90" s="80">
        <v>41557</v>
      </c>
      <c r="D90" s="81"/>
      <c r="E90" s="81"/>
      <c r="F90" s="82" t="s">
        <v>596</v>
      </c>
      <c r="G90" s="82" t="s">
        <v>597</v>
      </c>
      <c r="H90" s="81"/>
      <c r="I90" s="83" t="s">
        <v>596</v>
      </c>
      <c r="J90" s="83" t="s">
        <v>596</v>
      </c>
      <c r="K90" s="84"/>
    </row>
    <row r="91" spans="1:11" ht="13.15" customHeight="1" x14ac:dyDescent="0.25">
      <c r="A91" s="83">
        <v>4513100</v>
      </c>
      <c r="B91" s="120" t="s">
        <v>646</v>
      </c>
      <c r="C91" s="80">
        <v>41631</v>
      </c>
      <c r="D91" s="81"/>
      <c r="E91" s="81"/>
      <c r="F91" s="82" t="s">
        <v>596</v>
      </c>
      <c r="G91" s="82" t="s">
        <v>597</v>
      </c>
      <c r="H91" s="81"/>
      <c r="I91" s="83" t="s">
        <v>596</v>
      </c>
      <c r="J91" s="83" t="s">
        <v>596</v>
      </c>
      <c r="K91" s="84"/>
    </row>
    <row r="92" spans="1:11" ht="13.15" customHeight="1" x14ac:dyDescent="0.25">
      <c r="A92" s="83">
        <v>4513110</v>
      </c>
      <c r="B92" s="120" t="s">
        <v>431</v>
      </c>
      <c r="C92" s="80">
        <v>44993</v>
      </c>
      <c r="D92" s="81"/>
      <c r="E92" s="81"/>
      <c r="F92" s="82" t="s">
        <v>596</v>
      </c>
      <c r="G92" s="82" t="s">
        <v>597</v>
      </c>
      <c r="H92" s="81"/>
      <c r="I92" s="83" t="s">
        <v>596</v>
      </c>
      <c r="J92" s="83" t="s">
        <v>596</v>
      </c>
      <c r="K92" s="84"/>
    </row>
    <row r="93" spans="1:11" ht="13.15" customHeight="1" x14ac:dyDescent="0.25">
      <c r="A93" s="83">
        <v>4513111</v>
      </c>
      <c r="B93" s="120" t="s">
        <v>440</v>
      </c>
      <c r="C93" s="80">
        <v>45313</v>
      </c>
      <c r="D93" s="81"/>
      <c r="E93" s="81"/>
      <c r="F93" s="82" t="s">
        <v>596</v>
      </c>
      <c r="G93" s="82" t="s">
        <v>597</v>
      </c>
      <c r="H93" s="81"/>
      <c r="I93" s="83" t="s">
        <v>596</v>
      </c>
      <c r="J93" s="83" t="s">
        <v>596</v>
      </c>
      <c r="K93" s="84"/>
    </row>
    <row r="94" spans="1:11" ht="13.15" customHeight="1" x14ac:dyDescent="0.25">
      <c r="A94" s="83">
        <v>4513120</v>
      </c>
      <c r="B94" s="120" t="s">
        <v>434</v>
      </c>
      <c r="C94" s="80">
        <v>44993</v>
      </c>
      <c r="D94" s="81"/>
      <c r="E94" s="81"/>
      <c r="F94" s="82" t="s">
        <v>596</v>
      </c>
      <c r="G94" s="82" t="s">
        <v>597</v>
      </c>
      <c r="H94" s="81"/>
      <c r="I94" s="83" t="s">
        <v>596</v>
      </c>
      <c r="J94" s="83" t="s">
        <v>596</v>
      </c>
      <c r="K94" s="84"/>
    </row>
    <row r="95" spans="1:11" ht="13.15" customHeight="1" x14ac:dyDescent="0.25">
      <c r="A95" s="83">
        <v>4513130</v>
      </c>
      <c r="B95" s="120" t="s">
        <v>177</v>
      </c>
      <c r="C95" s="80">
        <v>44993</v>
      </c>
      <c r="D95" s="81"/>
      <c r="E95" s="81"/>
      <c r="F95" s="82" t="s">
        <v>596</v>
      </c>
      <c r="G95" s="82" t="s">
        <v>597</v>
      </c>
      <c r="H95" s="81"/>
      <c r="I95" s="83" t="s">
        <v>596</v>
      </c>
      <c r="J95" s="83" t="s">
        <v>596</v>
      </c>
      <c r="K95" s="84"/>
    </row>
    <row r="96" spans="1:11" ht="13.15" customHeight="1" x14ac:dyDescent="0.25">
      <c r="A96" s="83">
        <v>4513140</v>
      </c>
      <c r="B96" s="120" t="s">
        <v>438</v>
      </c>
      <c r="C96" s="80">
        <v>45027</v>
      </c>
      <c r="D96" s="81"/>
      <c r="E96" s="81"/>
      <c r="F96" s="82" t="s">
        <v>596</v>
      </c>
      <c r="G96" s="82" t="s">
        <v>597</v>
      </c>
      <c r="H96" s="81"/>
      <c r="I96" s="83" t="s">
        <v>596</v>
      </c>
      <c r="J96" s="83" t="s">
        <v>596</v>
      </c>
      <c r="K96" s="84"/>
    </row>
    <row r="97" spans="1:11" ht="13.15" customHeight="1" x14ac:dyDescent="0.25">
      <c r="A97" s="83">
        <v>4513200</v>
      </c>
      <c r="B97" s="120" t="s">
        <v>647</v>
      </c>
      <c r="C97" s="80">
        <v>41631</v>
      </c>
      <c r="D97" s="81"/>
      <c r="E97" s="81"/>
      <c r="F97" s="82" t="s">
        <v>596</v>
      </c>
      <c r="G97" s="82" t="s">
        <v>597</v>
      </c>
      <c r="H97" s="81"/>
      <c r="I97" s="83" t="s">
        <v>596</v>
      </c>
      <c r="J97" s="83" t="s">
        <v>596</v>
      </c>
      <c r="K97" s="84"/>
    </row>
    <row r="98" spans="1:11" ht="13.15" customHeight="1" x14ac:dyDescent="0.25">
      <c r="A98" s="83">
        <v>4513300</v>
      </c>
      <c r="B98" s="120" t="s">
        <v>648</v>
      </c>
      <c r="C98" s="80">
        <v>41631</v>
      </c>
      <c r="D98" s="81"/>
      <c r="E98" s="81"/>
      <c r="F98" s="82" t="s">
        <v>596</v>
      </c>
      <c r="G98" s="82" t="s">
        <v>597</v>
      </c>
      <c r="H98" s="81"/>
      <c r="I98" s="83" t="s">
        <v>596</v>
      </c>
      <c r="J98" s="83" t="s">
        <v>596</v>
      </c>
      <c r="K98" s="84"/>
    </row>
    <row r="99" spans="1:11" ht="13.15" customHeight="1" x14ac:dyDescent="0.25">
      <c r="A99" s="83">
        <v>4513400</v>
      </c>
      <c r="B99" s="120" t="s">
        <v>649</v>
      </c>
      <c r="C99" s="80">
        <v>41631</v>
      </c>
      <c r="D99" s="81"/>
      <c r="E99" s="81"/>
      <c r="F99" s="82" t="s">
        <v>596</v>
      </c>
      <c r="G99" s="82" t="s">
        <v>597</v>
      </c>
      <c r="H99" s="81"/>
      <c r="I99" s="83" t="s">
        <v>596</v>
      </c>
      <c r="J99" s="83" t="s">
        <v>596</v>
      </c>
      <c r="K99" s="84"/>
    </row>
    <row r="100" spans="1:11" ht="13.15" customHeight="1" x14ac:dyDescent="0.25">
      <c r="A100" s="83">
        <v>4513500</v>
      </c>
      <c r="B100" s="120" t="s">
        <v>650</v>
      </c>
      <c r="C100" s="80">
        <v>41631</v>
      </c>
      <c r="D100" s="81"/>
      <c r="E100" s="81"/>
      <c r="F100" s="82" t="s">
        <v>596</v>
      </c>
      <c r="G100" s="82" t="s">
        <v>597</v>
      </c>
      <c r="H100" s="81"/>
      <c r="I100" s="83" t="s">
        <v>596</v>
      </c>
      <c r="J100" s="83" t="s">
        <v>596</v>
      </c>
      <c r="K100" s="84"/>
    </row>
    <row r="101" spans="1:11" ht="13.15" customHeight="1" x14ac:dyDescent="0.25">
      <c r="A101" s="83">
        <v>4513600</v>
      </c>
      <c r="B101" s="120" t="s">
        <v>651</v>
      </c>
      <c r="C101" s="80">
        <v>41631</v>
      </c>
      <c r="D101" s="81"/>
      <c r="E101" s="81"/>
      <c r="F101" s="82" t="s">
        <v>596</v>
      </c>
      <c r="G101" s="82" t="s">
        <v>597</v>
      </c>
      <c r="H101" s="81"/>
      <c r="I101" s="83" t="s">
        <v>596</v>
      </c>
      <c r="J101" s="83" t="s">
        <v>596</v>
      </c>
      <c r="K101" s="84"/>
    </row>
    <row r="102" spans="1:11" ht="13.15" customHeight="1" x14ac:dyDescent="0.25">
      <c r="A102" s="83">
        <v>4513700</v>
      </c>
      <c r="B102" s="120" t="s">
        <v>652</v>
      </c>
      <c r="C102" s="80">
        <v>41631</v>
      </c>
      <c r="D102" s="81"/>
      <c r="E102" s="81"/>
      <c r="F102" s="82" t="s">
        <v>596</v>
      </c>
      <c r="G102" s="82" t="s">
        <v>597</v>
      </c>
      <c r="H102" s="81"/>
      <c r="I102" s="83" t="s">
        <v>596</v>
      </c>
      <c r="J102" s="83" t="s">
        <v>596</v>
      </c>
      <c r="K102" s="84"/>
    </row>
    <row r="103" spans="1:11" ht="13.15" customHeight="1" x14ac:dyDescent="0.25">
      <c r="A103" s="83">
        <v>4513800</v>
      </c>
      <c r="B103" s="120" t="s">
        <v>653</v>
      </c>
      <c r="C103" s="80">
        <v>43508</v>
      </c>
      <c r="D103" s="81"/>
      <c r="E103" s="81"/>
      <c r="F103" s="82" t="s">
        <v>596</v>
      </c>
      <c r="G103" s="82" t="s">
        <v>597</v>
      </c>
      <c r="H103" s="81"/>
      <c r="I103" s="83" t="s">
        <v>596</v>
      </c>
      <c r="J103" s="83" t="s">
        <v>596</v>
      </c>
      <c r="K103" s="84"/>
    </row>
    <row r="104" spans="1:11" ht="13.15" customHeight="1" x14ac:dyDescent="0.25">
      <c r="A104" s="83">
        <v>4514000</v>
      </c>
      <c r="B104" s="120" t="s">
        <v>654</v>
      </c>
      <c r="C104" s="80">
        <v>45177</v>
      </c>
      <c r="D104" s="81"/>
      <c r="E104" s="81"/>
      <c r="F104" s="82" t="s">
        <v>596</v>
      </c>
      <c r="G104" s="82" t="s">
        <v>597</v>
      </c>
      <c r="H104" s="81"/>
      <c r="I104" s="83" t="s">
        <v>596</v>
      </c>
      <c r="J104" s="83" t="s">
        <v>596</v>
      </c>
      <c r="K104" s="84"/>
    </row>
    <row r="105" spans="1:11" ht="13.15" customHeight="1" x14ac:dyDescent="0.25">
      <c r="A105" s="83">
        <v>4514120</v>
      </c>
      <c r="B105" s="120" t="s">
        <v>655</v>
      </c>
      <c r="C105" s="80">
        <v>45177</v>
      </c>
      <c r="D105" s="81"/>
      <c r="E105" s="81"/>
      <c r="F105" s="82" t="s">
        <v>596</v>
      </c>
      <c r="G105" s="82" t="s">
        <v>597</v>
      </c>
      <c r="H105" s="81"/>
      <c r="I105" s="83" t="s">
        <v>596</v>
      </c>
      <c r="J105" s="83" t="s">
        <v>596</v>
      </c>
      <c r="K105" s="84"/>
    </row>
    <row r="106" spans="1:11" ht="13.15" customHeight="1" x14ac:dyDescent="0.25">
      <c r="A106" s="83">
        <v>4514121</v>
      </c>
      <c r="B106" s="120" t="s">
        <v>656</v>
      </c>
      <c r="C106" s="80">
        <v>45187</v>
      </c>
      <c r="D106" s="81"/>
      <c r="E106" s="81"/>
      <c r="F106" s="82" t="s">
        <v>596</v>
      </c>
      <c r="G106" s="82" t="s">
        <v>597</v>
      </c>
      <c r="H106" s="81"/>
      <c r="I106" s="83" t="s">
        <v>596</v>
      </c>
      <c r="J106" s="83" t="s">
        <v>596</v>
      </c>
      <c r="K106" s="84"/>
    </row>
    <row r="107" spans="1:11" ht="13.15" customHeight="1" x14ac:dyDescent="0.25">
      <c r="A107" s="83">
        <v>4514140</v>
      </c>
      <c r="B107" s="120" t="s">
        <v>657</v>
      </c>
      <c r="C107" s="80">
        <v>45177</v>
      </c>
      <c r="D107" s="81"/>
      <c r="E107" s="81"/>
      <c r="F107" s="82" t="s">
        <v>596</v>
      </c>
      <c r="G107" s="82" t="s">
        <v>597</v>
      </c>
      <c r="H107" s="81"/>
      <c r="I107" s="83" t="s">
        <v>596</v>
      </c>
      <c r="J107" s="83" t="s">
        <v>596</v>
      </c>
      <c r="K107" s="84"/>
    </row>
    <row r="108" spans="1:11" ht="13.15" customHeight="1" x14ac:dyDescent="0.25">
      <c r="A108" s="83">
        <v>4514160</v>
      </c>
      <c r="B108" s="120" t="s">
        <v>658</v>
      </c>
      <c r="C108" s="80">
        <v>45177</v>
      </c>
      <c r="D108" s="81"/>
      <c r="E108" s="81"/>
      <c r="F108" s="82" t="s">
        <v>596</v>
      </c>
      <c r="G108" s="82" t="s">
        <v>597</v>
      </c>
      <c r="H108" s="81"/>
      <c r="I108" s="83" t="s">
        <v>596</v>
      </c>
      <c r="J108" s="83" t="s">
        <v>596</v>
      </c>
      <c r="K108" s="84"/>
    </row>
    <row r="109" spans="1:11" ht="13.15" customHeight="1" x14ac:dyDescent="0.25">
      <c r="A109" s="83">
        <v>4514180</v>
      </c>
      <c r="B109" s="120" t="s">
        <v>659</v>
      </c>
      <c r="C109" s="80">
        <v>45177</v>
      </c>
      <c r="D109" s="81"/>
      <c r="E109" s="81"/>
      <c r="F109" s="82" t="s">
        <v>596</v>
      </c>
      <c r="G109" s="82" t="s">
        <v>597</v>
      </c>
      <c r="H109" s="81"/>
      <c r="I109" s="83" t="s">
        <v>596</v>
      </c>
      <c r="J109" s="83" t="s">
        <v>596</v>
      </c>
      <c r="K109" s="84"/>
    </row>
    <row r="110" spans="1:11" ht="13.15" customHeight="1" x14ac:dyDescent="0.25">
      <c r="A110" s="83">
        <v>4515000</v>
      </c>
      <c r="B110" s="120" t="s">
        <v>571</v>
      </c>
      <c r="C110" s="80">
        <v>41567</v>
      </c>
      <c r="D110" s="81"/>
      <c r="E110" s="81"/>
      <c r="F110" s="82" t="s">
        <v>596</v>
      </c>
      <c r="G110" s="82" t="s">
        <v>596</v>
      </c>
      <c r="H110" s="81"/>
      <c r="I110" s="83" t="s">
        <v>597</v>
      </c>
      <c r="J110" s="83" t="s">
        <v>597</v>
      </c>
      <c r="K110" s="84"/>
    </row>
    <row r="111" spans="1:11" ht="13.15" customHeight="1" x14ac:dyDescent="0.25">
      <c r="A111" s="83">
        <v>4515001</v>
      </c>
      <c r="B111" s="120" t="s">
        <v>497</v>
      </c>
      <c r="C111" s="80">
        <v>45811</v>
      </c>
      <c r="D111" s="81"/>
      <c r="E111" s="81"/>
      <c r="F111" s="82" t="s">
        <v>596</v>
      </c>
      <c r="G111" s="82" t="s">
        <v>597</v>
      </c>
      <c r="H111" s="81"/>
      <c r="I111" s="83" t="s">
        <v>596</v>
      </c>
      <c r="J111" s="83" t="s">
        <v>596</v>
      </c>
      <c r="K111" s="84"/>
    </row>
    <row r="112" spans="1:11" ht="13.15" customHeight="1" x14ac:dyDescent="0.25">
      <c r="A112" s="83">
        <v>4515010</v>
      </c>
      <c r="B112" s="120" t="s">
        <v>486</v>
      </c>
      <c r="C112" s="80">
        <v>41567</v>
      </c>
      <c r="D112" s="81"/>
      <c r="E112" s="81"/>
      <c r="F112" s="82" t="s">
        <v>596</v>
      </c>
      <c r="G112" s="82" t="s">
        <v>597</v>
      </c>
      <c r="H112" s="81"/>
      <c r="I112" s="83" t="s">
        <v>596</v>
      </c>
      <c r="J112" s="83" t="s">
        <v>596</v>
      </c>
      <c r="K112" s="84"/>
    </row>
    <row r="113" spans="1:11" ht="13.15" customHeight="1" x14ac:dyDescent="0.25">
      <c r="A113" s="83">
        <v>4515020</v>
      </c>
      <c r="B113" s="120" t="s">
        <v>504</v>
      </c>
      <c r="C113" s="80">
        <v>45811</v>
      </c>
      <c r="D113" s="81"/>
      <c r="E113" s="81"/>
      <c r="F113" s="82" t="s">
        <v>596</v>
      </c>
      <c r="G113" s="82" t="s">
        <v>597</v>
      </c>
      <c r="H113" s="81"/>
      <c r="I113" s="83" t="s">
        <v>596</v>
      </c>
      <c r="J113" s="83" t="s">
        <v>596</v>
      </c>
      <c r="K113" s="84"/>
    </row>
    <row r="114" spans="1:11" ht="13.15" customHeight="1" x14ac:dyDescent="0.25">
      <c r="A114" s="83">
        <v>4515030</v>
      </c>
      <c r="B114" s="120" t="s">
        <v>660</v>
      </c>
      <c r="C114" s="80">
        <v>45811</v>
      </c>
      <c r="D114" s="81"/>
      <c r="E114" s="81"/>
      <c r="F114" s="82" t="s">
        <v>596</v>
      </c>
      <c r="G114" s="82" t="s">
        <v>597</v>
      </c>
      <c r="H114" s="81"/>
      <c r="I114" s="83" t="s">
        <v>596</v>
      </c>
      <c r="J114" s="83" t="s">
        <v>596</v>
      </c>
      <c r="K114" s="84"/>
    </row>
    <row r="115" spans="1:11" ht="13.15" customHeight="1" x14ac:dyDescent="0.25">
      <c r="A115" s="83">
        <v>4515040</v>
      </c>
      <c r="B115" s="120" t="s">
        <v>661</v>
      </c>
      <c r="C115" s="80">
        <v>45811</v>
      </c>
      <c r="D115" s="81"/>
      <c r="E115" s="81"/>
      <c r="F115" s="82" t="s">
        <v>596</v>
      </c>
      <c r="G115" s="82" t="s">
        <v>597</v>
      </c>
      <c r="H115" s="81"/>
      <c r="I115" s="83" t="s">
        <v>596</v>
      </c>
      <c r="J115" s="83" t="s">
        <v>596</v>
      </c>
      <c r="K115" s="84"/>
    </row>
    <row r="116" spans="1:11" ht="13.15" customHeight="1" x14ac:dyDescent="0.25">
      <c r="A116" s="83">
        <v>4515100</v>
      </c>
      <c r="B116" s="120" t="s">
        <v>491</v>
      </c>
      <c r="C116" s="80">
        <v>41631</v>
      </c>
      <c r="D116" s="81"/>
      <c r="E116" s="81"/>
      <c r="F116" s="82" t="s">
        <v>596</v>
      </c>
      <c r="G116" s="82" t="s">
        <v>597</v>
      </c>
      <c r="H116" s="81"/>
      <c r="I116" s="83" t="s">
        <v>596</v>
      </c>
      <c r="J116" s="83" t="s">
        <v>596</v>
      </c>
      <c r="K116" s="84"/>
    </row>
    <row r="117" spans="1:11" ht="13.15" customHeight="1" x14ac:dyDescent="0.25">
      <c r="A117" s="83">
        <v>4515200</v>
      </c>
      <c r="B117" s="120" t="s">
        <v>662</v>
      </c>
      <c r="C117" s="80">
        <v>41632</v>
      </c>
      <c r="D117" s="81"/>
      <c r="E117" s="81"/>
      <c r="F117" s="82" t="s">
        <v>596</v>
      </c>
      <c r="G117" s="82" t="s">
        <v>597</v>
      </c>
      <c r="H117" s="81"/>
      <c r="I117" s="83" t="s">
        <v>596</v>
      </c>
      <c r="J117" s="83" t="s">
        <v>596</v>
      </c>
      <c r="K117" s="84"/>
    </row>
    <row r="118" spans="1:11" ht="13.15" customHeight="1" x14ac:dyDescent="0.25">
      <c r="A118" s="83">
        <v>4515300</v>
      </c>
      <c r="B118" s="120" t="s">
        <v>465</v>
      </c>
      <c r="C118" s="80">
        <v>41632</v>
      </c>
      <c r="D118" s="81"/>
      <c r="E118" s="81"/>
      <c r="F118" s="82" t="s">
        <v>596</v>
      </c>
      <c r="G118" s="82" t="s">
        <v>597</v>
      </c>
      <c r="H118" s="81"/>
      <c r="I118" s="83" t="s">
        <v>596</v>
      </c>
      <c r="J118" s="83" t="s">
        <v>596</v>
      </c>
      <c r="K118" s="84"/>
    </row>
    <row r="119" spans="1:11" ht="13.15" customHeight="1" x14ac:dyDescent="0.25">
      <c r="A119" s="83">
        <v>4515400</v>
      </c>
      <c r="B119" s="120" t="s">
        <v>233</v>
      </c>
      <c r="C119" s="80">
        <v>41632</v>
      </c>
      <c r="D119" s="81"/>
      <c r="E119" s="81"/>
      <c r="F119" s="82" t="s">
        <v>596</v>
      </c>
      <c r="G119" s="82" t="s">
        <v>597</v>
      </c>
      <c r="H119" s="81"/>
      <c r="I119" s="83" t="s">
        <v>596</v>
      </c>
      <c r="J119" s="83" t="s">
        <v>596</v>
      </c>
      <c r="K119" s="84"/>
    </row>
    <row r="120" spans="1:11" ht="13.15" customHeight="1" x14ac:dyDescent="0.25">
      <c r="A120" s="83">
        <v>4515500</v>
      </c>
      <c r="B120" s="120" t="s">
        <v>240</v>
      </c>
      <c r="C120" s="80">
        <v>41632</v>
      </c>
      <c r="D120" s="81"/>
      <c r="E120" s="81"/>
      <c r="F120" s="82" t="s">
        <v>596</v>
      </c>
      <c r="G120" s="82" t="s">
        <v>597</v>
      </c>
      <c r="H120" s="81"/>
      <c r="I120" s="83" t="s">
        <v>596</v>
      </c>
      <c r="J120" s="83" t="s">
        <v>596</v>
      </c>
      <c r="K120" s="84"/>
    </row>
    <row r="121" spans="1:11" ht="13.15" customHeight="1" x14ac:dyDescent="0.25">
      <c r="A121" s="83">
        <v>4515600</v>
      </c>
      <c r="B121" s="120" t="s">
        <v>663</v>
      </c>
      <c r="C121" s="80">
        <v>43859</v>
      </c>
      <c r="D121" s="81"/>
      <c r="E121" s="81"/>
      <c r="F121" s="82" t="s">
        <v>596</v>
      </c>
      <c r="G121" s="82" t="s">
        <v>597</v>
      </c>
      <c r="H121" s="81"/>
      <c r="I121" s="83" t="s">
        <v>596</v>
      </c>
      <c r="J121" s="83" t="s">
        <v>596</v>
      </c>
      <c r="K121" s="84"/>
    </row>
    <row r="122" spans="1:11" ht="13.15" customHeight="1" x14ac:dyDescent="0.25">
      <c r="A122" s="83">
        <v>4515700</v>
      </c>
      <c r="B122" s="120" t="s">
        <v>482</v>
      </c>
      <c r="C122" s="80">
        <v>44993</v>
      </c>
      <c r="D122" s="81"/>
      <c r="E122" s="81"/>
      <c r="F122" s="82" t="s">
        <v>596</v>
      </c>
      <c r="G122" s="82" t="s">
        <v>597</v>
      </c>
      <c r="H122" s="81"/>
      <c r="I122" s="83" t="s">
        <v>596</v>
      </c>
      <c r="J122" s="83" t="s">
        <v>596</v>
      </c>
      <c r="K122" s="84"/>
    </row>
    <row r="123" spans="1:11" ht="13.15" customHeight="1" x14ac:dyDescent="0.25">
      <c r="A123" s="85">
        <v>4515800</v>
      </c>
      <c r="B123" s="120" t="s">
        <v>492</v>
      </c>
      <c r="C123" s="80">
        <v>44993</v>
      </c>
      <c r="D123" s="81"/>
      <c r="E123" s="81"/>
      <c r="F123" s="82" t="s">
        <v>596</v>
      </c>
      <c r="G123" s="82" t="s">
        <v>597</v>
      </c>
      <c r="H123" s="81"/>
      <c r="I123" s="83" t="s">
        <v>596</v>
      </c>
      <c r="J123" s="83" t="s">
        <v>596</v>
      </c>
      <c r="K123" s="84"/>
    </row>
    <row r="124" spans="1:11" ht="13.15" customHeight="1" x14ac:dyDescent="0.25">
      <c r="A124" s="83">
        <v>4515900</v>
      </c>
      <c r="B124" s="120" t="s">
        <v>499</v>
      </c>
      <c r="C124" s="80">
        <v>45092</v>
      </c>
      <c r="D124" s="81"/>
      <c r="E124" s="81"/>
      <c r="F124" s="82" t="s">
        <v>596</v>
      </c>
      <c r="G124" s="82" t="s">
        <v>597</v>
      </c>
      <c r="H124" s="81"/>
      <c r="I124" s="83" t="s">
        <v>596</v>
      </c>
      <c r="J124" s="83" t="s">
        <v>596</v>
      </c>
      <c r="K124" s="84"/>
    </row>
    <row r="125" spans="1:11" ht="13.15" customHeight="1" x14ac:dyDescent="0.25">
      <c r="A125" s="83">
        <v>4516000</v>
      </c>
      <c r="B125" s="120" t="s">
        <v>664</v>
      </c>
      <c r="C125" s="80">
        <v>41567</v>
      </c>
      <c r="D125" s="81"/>
      <c r="E125" s="81"/>
      <c r="F125" s="82" t="s">
        <v>596</v>
      </c>
      <c r="G125" s="82" t="s">
        <v>596</v>
      </c>
      <c r="H125" s="81"/>
      <c r="I125" s="83" t="s">
        <v>597</v>
      </c>
      <c r="J125" s="83" t="s">
        <v>597</v>
      </c>
      <c r="K125" s="84"/>
    </row>
    <row r="126" spans="1:11" ht="13.15" customHeight="1" x14ac:dyDescent="0.25">
      <c r="A126" s="83">
        <v>4516010</v>
      </c>
      <c r="B126" s="120" t="s">
        <v>665</v>
      </c>
      <c r="C126" s="80">
        <v>41567</v>
      </c>
      <c r="D126" s="81"/>
      <c r="E126" s="81"/>
      <c r="F126" s="82" t="s">
        <v>596</v>
      </c>
      <c r="G126" s="82" t="s">
        <v>597</v>
      </c>
      <c r="H126" s="81"/>
      <c r="I126" s="83" t="s">
        <v>596</v>
      </c>
      <c r="J126" s="83" t="s">
        <v>596</v>
      </c>
      <c r="K126" s="84"/>
    </row>
    <row r="127" spans="1:11" ht="13.15" customHeight="1" x14ac:dyDescent="0.25">
      <c r="A127" s="83">
        <v>4516100</v>
      </c>
      <c r="B127" s="120" t="s">
        <v>317</v>
      </c>
      <c r="C127" s="80">
        <v>41631</v>
      </c>
      <c r="D127" s="81"/>
      <c r="E127" s="81"/>
      <c r="F127" s="82" t="s">
        <v>596</v>
      </c>
      <c r="G127" s="82" t="s">
        <v>597</v>
      </c>
      <c r="H127" s="81"/>
      <c r="I127" s="83" t="s">
        <v>596</v>
      </c>
      <c r="J127" s="83" t="s">
        <v>596</v>
      </c>
      <c r="K127" s="84"/>
    </row>
    <row r="128" spans="1:11" ht="13.15" customHeight="1" x14ac:dyDescent="0.25">
      <c r="A128" s="83">
        <v>4516150</v>
      </c>
      <c r="B128" s="120" t="s">
        <v>666</v>
      </c>
      <c r="C128" s="80">
        <v>41631</v>
      </c>
      <c r="D128" s="81"/>
      <c r="E128" s="81"/>
      <c r="F128" s="82" t="s">
        <v>596</v>
      </c>
      <c r="G128" s="82" t="s">
        <v>597</v>
      </c>
      <c r="H128" s="81"/>
      <c r="I128" s="83" t="s">
        <v>596</v>
      </c>
      <c r="J128" s="83" t="s">
        <v>596</v>
      </c>
      <c r="K128" s="84"/>
    </row>
    <row r="129" spans="1:11" ht="13.15" customHeight="1" x14ac:dyDescent="0.25">
      <c r="A129" s="83">
        <v>4516200</v>
      </c>
      <c r="B129" s="120" t="s">
        <v>667</v>
      </c>
      <c r="C129" s="80">
        <v>41631</v>
      </c>
      <c r="D129" s="81"/>
      <c r="E129" s="81"/>
      <c r="F129" s="82" t="s">
        <v>596</v>
      </c>
      <c r="G129" s="82" t="s">
        <v>597</v>
      </c>
      <c r="H129" s="81"/>
      <c r="I129" s="83" t="s">
        <v>596</v>
      </c>
      <c r="J129" s="83" t="s">
        <v>596</v>
      </c>
      <c r="K129" s="84"/>
    </row>
    <row r="130" spans="1:11" ht="13.15" customHeight="1" x14ac:dyDescent="0.25">
      <c r="A130" s="83">
        <v>4516300</v>
      </c>
      <c r="B130" s="120" t="s">
        <v>668</v>
      </c>
      <c r="C130" s="80">
        <v>41631</v>
      </c>
      <c r="D130" s="81"/>
      <c r="E130" s="81"/>
      <c r="F130" s="82" t="s">
        <v>596</v>
      </c>
      <c r="G130" s="82" t="s">
        <v>597</v>
      </c>
      <c r="H130" s="81"/>
      <c r="I130" s="83" t="s">
        <v>596</v>
      </c>
      <c r="J130" s="83" t="s">
        <v>596</v>
      </c>
      <c r="K130" s="84"/>
    </row>
    <row r="131" spans="1:11" ht="13.15" customHeight="1" x14ac:dyDescent="0.25">
      <c r="A131" s="83">
        <v>4517000</v>
      </c>
      <c r="B131" s="120" t="s">
        <v>669</v>
      </c>
      <c r="C131" s="80">
        <v>41714</v>
      </c>
      <c r="D131" s="81"/>
      <c r="E131" s="81"/>
      <c r="F131" s="82" t="s">
        <v>596</v>
      </c>
      <c r="G131" s="82" t="s">
        <v>596</v>
      </c>
      <c r="H131" s="81"/>
      <c r="I131" s="83" t="s">
        <v>597</v>
      </c>
      <c r="J131" s="83" t="s">
        <v>597</v>
      </c>
      <c r="K131" s="84"/>
    </row>
    <row r="132" spans="1:11" ht="13.15" customHeight="1" x14ac:dyDescent="0.25">
      <c r="A132" s="83">
        <v>4517010</v>
      </c>
      <c r="B132" s="120" t="s">
        <v>670</v>
      </c>
      <c r="C132" s="80">
        <v>41714</v>
      </c>
      <c r="D132" s="81"/>
      <c r="E132" s="81"/>
      <c r="F132" s="82" t="s">
        <v>596</v>
      </c>
      <c r="G132" s="82" t="s">
        <v>597</v>
      </c>
      <c r="H132" s="81"/>
      <c r="I132" s="83" t="s">
        <v>596</v>
      </c>
      <c r="J132" s="83" t="s">
        <v>596</v>
      </c>
      <c r="K132" s="84"/>
    </row>
    <row r="133" spans="1:11" ht="13.15" customHeight="1" x14ac:dyDescent="0.25">
      <c r="A133" s="83">
        <v>4517100</v>
      </c>
      <c r="B133" s="120" t="s">
        <v>671</v>
      </c>
      <c r="C133" s="80">
        <v>41714</v>
      </c>
      <c r="D133" s="81"/>
      <c r="E133" s="81"/>
      <c r="F133" s="82" t="s">
        <v>596</v>
      </c>
      <c r="G133" s="82" t="s">
        <v>597</v>
      </c>
      <c r="H133" s="81"/>
      <c r="I133" s="83" t="s">
        <v>596</v>
      </c>
      <c r="J133" s="83" t="s">
        <v>596</v>
      </c>
      <c r="K133" s="84"/>
    </row>
    <row r="134" spans="1:11" ht="13.15" customHeight="1" x14ac:dyDescent="0.25">
      <c r="A134" s="83">
        <v>4517150</v>
      </c>
      <c r="B134" s="120" t="s">
        <v>672</v>
      </c>
      <c r="C134" s="80">
        <v>41714</v>
      </c>
      <c r="D134" s="81"/>
      <c r="E134" s="81"/>
      <c r="F134" s="82" t="s">
        <v>596</v>
      </c>
      <c r="G134" s="82" t="s">
        <v>597</v>
      </c>
      <c r="H134" s="81"/>
      <c r="I134" s="83" t="s">
        <v>596</v>
      </c>
      <c r="J134" s="83" t="s">
        <v>596</v>
      </c>
      <c r="K134" s="84"/>
    </row>
    <row r="135" spans="1:11" ht="13.15" customHeight="1" x14ac:dyDescent="0.25">
      <c r="A135" s="83">
        <v>4517200</v>
      </c>
      <c r="B135" s="120" t="s">
        <v>673</v>
      </c>
      <c r="C135" s="80">
        <v>41714</v>
      </c>
      <c r="D135" s="81"/>
      <c r="E135" s="81"/>
      <c r="F135" s="82" t="s">
        <v>596</v>
      </c>
      <c r="G135" s="82" t="s">
        <v>597</v>
      </c>
      <c r="H135" s="81"/>
      <c r="I135" s="83" t="s">
        <v>596</v>
      </c>
      <c r="J135" s="83" t="s">
        <v>596</v>
      </c>
      <c r="K135" s="84"/>
    </row>
    <row r="136" spans="1:11" ht="13.15" customHeight="1" x14ac:dyDescent="0.25">
      <c r="A136" s="83">
        <v>4517250</v>
      </c>
      <c r="B136" s="120" t="s">
        <v>674</v>
      </c>
      <c r="C136" s="80">
        <v>41714</v>
      </c>
      <c r="D136" s="81"/>
      <c r="E136" s="81"/>
      <c r="F136" s="82" t="s">
        <v>596</v>
      </c>
      <c r="G136" s="82" t="s">
        <v>597</v>
      </c>
      <c r="H136" s="81"/>
      <c r="I136" s="83" t="s">
        <v>596</v>
      </c>
      <c r="J136" s="83" t="s">
        <v>596</v>
      </c>
      <c r="K136" s="84"/>
    </row>
    <row r="137" spans="1:11" ht="13.15" customHeight="1" x14ac:dyDescent="0.25">
      <c r="A137" s="83">
        <v>4518100</v>
      </c>
      <c r="B137" s="120" t="s">
        <v>675</v>
      </c>
      <c r="C137" s="80">
        <v>44769</v>
      </c>
      <c r="D137" s="81"/>
      <c r="E137" s="81"/>
      <c r="F137" s="82" t="s">
        <v>596</v>
      </c>
      <c r="G137" s="82" t="s">
        <v>596</v>
      </c>
      <c r="H137" s="81"/>
      <c r="I137" s="83" t="s">
        <v>596</v>
      </c>
      <c r="J137" s="83" t="s">
        <v>596</v>
      </c>
      <c r="K137" s="84"/>
    </row>
    <row r="138" spans="1:11" ht="13.15" customHeight="1" x14ac:dyDescent="0.25">
      <c r="A138" s="83">
        <v>4518101</v>
      </c>
      <c r="B138" s="120" t="s">
        <v>676</v>
      </c>
      <c r="C138" s="80">
        <v>44769</v>
      </c>
      <c r="D138" s="81"/>
      <c r="E138" s="81"/>
      <c r="F138" s="82" t="s">
        <v>596</v>
      </c>
      <c r="G138" s="82" t="s">
        <v>597</v>
      </c>
      <c r="H138" s="81"/>
      <c r="I138" s="83" t="s">
        <v>596</v>
      </c>
      <c r="J138" s="83" t="s">
        <v>596</v>
      </c>
      <c r="K138" s="84"/>
    </row>
    <row r="139" spans="1:11" ht="13.15" customHeight="1" x14ac:dyDescent="0.25">
      <c r="A139" s="83">
        <v>4518102</v>
      </c>
      <c r="B139" s="120" t="s">
        <v>677</v>
      </c>
      <c r="C139" s="80">
        <v>44769</v>
      </c>
      <c r="D139" s="81"/>
      <c r="E139" s="81"/>
      <c r="F139" s="82" t="s">
        <v>596</v>
      </c>
      <c r="G139" s="82" t="s">
        <v>597</v>
      </c>
      <c r="H139" s="81"/>
      <c r="I139" s="83" t="s">
        <v>596</v>
      </c>
      <c r="J139" s="83" t="s">
        <v>596</v>
      </c>
      <c r="K139" s="84"/>
    </row>
    <row r="140" spans="1:11" ht="13.15" customHeight="1" x14ac:dyDescent="0.25">
      <c r="A140" s="83">
        <v>4518103</v>
      </c>
      <c r="B140" s="120" t="s">
        <v>678</v>
      </c>
      <c r="C140" s="80">
        <v>44769</v>
      </c>
      <c r="D140" s="81"/>
      <c r="E140" s="81"/>
      <c r="F140" s="82" t="s">
        <v>596</v>
      </c>
      <c r="G140" s="82" t="s">
        <v>597</v>
      </c>
      <c r="H140" s="81"/>
      <c r="I140" s="83" t="s">
        <v>596</v>
      </c>
      <c r="J140" s="83" t="s">
        <v>596</v>
      </c>
      <c r="K140" s="84"/>
    </row>
    <row r="141" spans="1:11" ht="13.15" customHeight="1" x14ac:dyDescent="0.25">
      <c r="A141" s="83">
        <v>4518104</v>
      </c>
      <c r="B141" s="120" t="s">
        <v>679</v>
      </c>
      <c r="C141" s="80">
        <v>44769</v>
      </c>
      <c r="D141" s="81"/>
      <c r="E141" s="81"/>
      <c r="F141" s="82" t="s">
        <v>596</v>
      </c>
      <c r="G141" s="82" t="s">
        <v>597</v>
      </c>
      <c r="H141" s="81"/>
      <c r="I141" s="83" t="s">
        <v>596</v>
      </c>
      <c r="J141" s="83" t="s">
        <v>596</v>
      </c>
      <c r="K141" s="84"/>
    </row>
    <row r="142" spans="1:11" ht="13.15" customHeight="1" x14ac:dyDescent="0.25">
      <c r="A142" s="83">
        <v>4518110</v>
      </c>
      <c r="B142" s="120" t="s">
        <v>680</v>
      </c>
      <c r="C142" s="80">
        <v>44769</v>
      </c>
      <c r="D142" s="81"/>
      <c r="E142" s="81"/>
      <c r="F142" s="82" t="s">
        <v>596</v>
      </c>
      <c r="G142" s="82" t="s">
        <v>597</v>
      </c>
      <c r="H142" s="81"/>
      <c r="I142" s="83" t="s">
        <v>596</v>
      </c>
      <c r="J142" s="83" t="s">
        <v>596</v>
      </c>
      <c r="K142" s="84"/>
    </row>
    <row r="143" spans="1:11" ht="13.15" customHeight="1" x14ac:dyDescent="0.25">
      <c r="A143" s="83">
        <v>4518111</v>
      </c>
      <c r="B143" s="120" t="s">
        <v>681</v>
      </c>
      <c r="C143" s="80">
        <v>44769</v>
      </c>
      <c r="D143" s="81"/>
      <c r="E143" s="81"/>
      <c r="F143" s="82" t="s">
        <v>596</v>
      </c>
      <c r="G143" s="82" t="s">
        <v>597</v>
      </c>
      <c r="H143" s="81"/>
      <c r="I143" s="83" t="s">
        <v>596</v>
      </c>
      <c r="J143" s="83" t="s">
        <v>596</v>
      </c>
      <c r="K143" s="84"/>
    </row>
    <row r="144" spans="1:11" ht="13.15" customHeight="1" x14ac:dyDescent="0.25">
      <c r="A144" s="83">
        <v>4518112</v>
      </c>
      <c r="B144" s="120" t="s">
        <v>682</v>
      </c>
      <c r="C144" s="80">
        <v>44769</v>
      </c>
      <c r="D144" s="81"/>
      <c r="E144" s="81"/>
      <c r="F144" s="82" t="s">
        <v>596</v>
      </c>
      <c r="G144" s="82" t="s">
        <v>597</v>
      </c>
      <c r="H144" s="81"/>
      <c r="I144" s="83" t="s">
        <v>596</v>
      </c>
      <c r="J144" s="83" t="s">
        <v>596</v>
      </c>
      <c r="K144" s="84"/>
    </row>
    <row r="145" spans="1:11" ht="13.15" customHeight="1" x14ac:dyDescent="0.25">
      <c r="A145" s="83">
        <v>4518113</v>
      </c>
      <c r="B145" s="120" t="s">
        <v>418</v>
      </c>
      <c r="C145" s="80">
        <v>44769</v>
      </c>
      <c r="D145" s="81"/>
      <c r="E145" s="81"/>
      <c r="F145" s="82" t="s">
        <v>596</v>
      </c>
      <c r="G145" s="82" t="s">
        <v>597</v>
      </c>
      <c r="H145" s="81"/>
      <c r="I145" s="83" t="s">
        <v>596</v>
      </c>
      <c r="J145" s="83" t="s">
        <v>596</v>
      </c>
      <c r="K145" s="84"/>
    </row>
    <row r="146" spans="1:11" ht="13.15" customHeight="1" x14ac:dyDescent="0.25">
      <c r="A146" s="83">
        <v>4518114</v>
      </c>
      <c r="B146" s="120" t="s">
        <v>683</v>
      </c>
      <c r="C146" s="80">
        <v>44769</v>
      </c>
      <c r="D146" s="81"/>
      <c r="E146" s="81"/>
      <c r="F146" s="82" t="s">
        <v>596</v>
      </c>
      <c r="G146" s="82" t="s">
        <v>597</v>
      </c>
      <c r="H146" s="81"/>
      <c r="I146" s="83" t="s">
        <v>596</v>
      </c>
      <c r="J146" s="83" t="s">
        <v>596</v>
      </c>
      <c r="K146" s="84"/>
    </row>
    <row r="147" spans="1:11" ht="13.15" customHeight="1" x14ac:dyDescent="0.25">
      <c r="A147" s="83">
        <v>4518115</v>
      </c>
      <c r="B147" s="120" t="s">
        <v>684</v>
      </c>
      <c r="C147" s="80">
        <v>44769</v>
      </c>
      <c r="D147" s="81"/>
      <c r="E147" s="81"/>
      <c r="F147" s="82" t="s">
        <v>596</v>
      </c>
      <c r="G147" s="82" t="s">
        <v>597</v>
      </c>
      <c r="H147" s="81"/>
      <c r="I147" s="83" t="s">
        <v>596</v>
      </c>
      <c r="J147" s="83" t="s">
        <v>596</v>
      </c>
      <c r="K147" s="84"/>
    </row>
    <row r="148" spans="1:11" ht="13.15" customHeight="1" x14ac:dyDescent="0.25">
      <c r="A148" s="83">
        <v>4518910</v>
      </c>
      <c r="B148" s="120" t="s">
        <v>685</v>
      </c>
      <c r="C148" s="80">
        <v>40836</v>
      </c>
      <c r="D148" s="81"/>
      <c r="E148" s="81"/>
      <c r="F148" s="82" t="s">
        <v>597</v>
      </c>
      <c r="G148" s="82" t="s">
        <v>597</v>
      </c>
      <c r="H148" s="81"/>
      <c r="I148" s="83" t="s">
        <v>597</v>
      </c>
      <c r="J148" s="83" t="s">
        <v>597</v>
      </c>
      <c r="K148" s="84"/>
    </row>
    <row r="149" spans="1:11" ht="13.15" customHeight="1" x14ac:dyDescent="0.25">
      <c r="A149" s="83">
        <v>4519196</v>
      </c>
      <c r="B149" s="120" t="s">
        <v>286</v>
      </c>
      <c r="C149" s="80">
        <v>45098</v>
      </c>
      <c r="D149" s="81"/>
      <c r="E149" s="81"/>
      <c r="F149" s="82" t="s">
        <v>596</v>
      </c>
      <c r="G149" s="82" t="s">
        <v>597</v>
      </c>
      <c r="H149" s="81"/>
      <c r="I149" s="83" t="s">
        <v>596</v>
      </c>
      <c r="J149" s="83" t="s">
        <v>596</v>
      </c>
      <c r="K149" s="84"/>
    </row>
    <row r="150" spans="1:11" ht="13.15" customHeight="1" x14ac:dyDescent="0.25">
      <c r="A150" s="83">
        <v>4519197</v>
      </c>
      <c r="B150" s="120" t="s">
        <v>288</v>
      </c>
      <c r="C150" s="80">
        <v>45098</v>
      </c>
      <c r="D150" s="81"/>
      <c r="E150" s="81"/>
      <c r="F150" s="82" t="s">
        <v>596</v>
      </c>
      <c r="G150" s="82" t="s">
        <v>597</v>
      </c>
      <c r="H150" s="81"/>
      <c r="I150" s="83" t="s">
        <v>596</v>
      </c>
      <c r="J150" s="83" t="s">
        <v>596</v>
      </c>
      <c r="K150" s="84"/>
    </row>
    <row r="151" spans="1:11" ht="13.15" customHeight="1" x14ac:dyDescent="0.25">
      <c r="A151" s="83">
        <v>4519199</v>
      </c>
      <c r="B151" s="120" t="s">
        <v>290</v>
      </c>
      <c r="C151" s="80">
        <v>45098</v>
      </c>
      <c r="D151" s="81"/>
      <c r="E151" s="81"/>
      <c r="F151" s="82" t="s">
        <v>596</v>
      </c>
      <c r="G151" s="82" t="s">
        <v>597</v>
      </c>
      <c r="H151" s="81"/>
      <c r="I151" s="83" t="s">
        <v>596</v>
      </c>
      <c r="J151" s="83" t="s">
        <v>596</v>
      </c>
      <c r="K151" s="84"/>
    </row>
    <row r="152" spans="1:11" ht="13.15" customHeight="1" x14ac:dyDescent="0.25">
      <c r="A152" s="83">
        <v>4519200</v>
      </c>
      <c r="B152" s="120" t="s">
        <v>292</v>
      </c>
      <c r="C152" s="80">
        <v>45098</v>
      </c>
      <c r="D152" s="81"/>
      <c r="E152" s="81"/>
      <c r="F152" s="82" t="s">
        <v>596</v>
      </c>
      <c r="G152" s="82" t="s">
        <v>597</v>
      </c>
      <c r="H152" s="81"/>
      <c r="I152" s="83" t="s">
        <v>596</v>
      </c>
      <c r="J152" s="83" t="s">
        <v>596</v>
      </c>
      <c r="K152" s="84"/>
    </row>
    <row r="153" spans="1:11" ht="13.15" customHeight="1" x14ac:dyDescent="0.25">
      <c r="A153" s="83">
        <v>4519201</v>
      </c>
      <c r="B153" s="120" t="s">
        <v>294</v>
      </c>
      <c r="C153" s="80">
        <v>45098</v>
      </c>
      <c r="D153" s="81"/>
      <c r="E153" s="81"/>
      <c r="F153" s="82" t="s">
        <v>596</v>
      </c>
      <c r="G153" s="82" t="s">
        <v>597</v>
      </c>
      <c r="H153" s="81"/>
      <c r="I153" s="83" t="s">
        <v>596</v>
      </c>
      <c r="J153" s="83" t="s">
        <v>596</v>
      </c>
      <c r="K153" s="84"/>
    </row>
    <row r="154" spans="1:11" ht="13.15" customHeight="1" x14ac:dyDescent="0.25">
      <c r="A154" s="83">
        <v>4519202</v>
      </c>
      <c r="B154" s="120" t="s">
        <v>296</v>
      </c>
      <c r="C154" s="80">
        <v>45098</v>
      </c>
      <c r="D154" s="81"/>
      <c r="E154" s="81"/>
      <c r="F154" s="82" t="s">
        <v>596</v>
      </c>
      <c r="G154" s="82" t="s">
        <v>597</v>
      </c>
      <c r="H154" s="81"/>
      <c r="I154" s="83" t="s">
        <v>596</v>
      </c>
      <c r="J154" s="83" t="s">
        <v>596</v>
      </c>
      <c r="K154" s="84"/>
    </row>
    <row r="155" spans="1:11" ht="13.15" customHeight="1" x14ac:dyDescent="0.25">
      <c r="A155" s="83">
        <v>4519203</v>
      </c>
      <c r="B155" s="120" t="s">
        <v>298</v>
      </c>
      <c r="C155" s="80">
        <v>45098</v>
      </c>
      <c r="D155" s="81"/>
      <c r="E155" s="81"/>
      <c r="F155" s="82" t="s">
        <v>596</v>
      </c>
      <c r="G155" s="82" t="s">
        <v>597</v>
      </c>
      <c r="H155" s="81"/>
      <c r="I155" s="83" t="s">
        <v>596</v>
      </c>
      <c r="J155" s="83" t="s">
        <v>596</v>
      </c>
      <c r="K155" s="84"/>
    </row>
    <row r="156" spans="1:11" ht="13.15" customHeight="1" x14ac:dyDescent="0.25">
      <c r="A156" s="83">
        <v>4519204</v>
      </c>
      <c r="B156" s="120" t="s">
        <v>300</v>
      </c>
      <c r="C156" s="80">
        <v>45932</v>
      </c>
      <c r="D156" s="81"/>
      <c r="E156" s="81"/>
      <c r="F156" s="82" t="s">
        <v>596</v>
      </c>
      <c r="G156" s="82" t="s">
        <v>597</v>
      </c>
      <c r="H156" s="81"/>
      <c r="I156" s="83" t="s">
        <v>596</v>
      </c>
      <c r="J156" s="83" t="s">
        <v>596</v>
      </c>
      <c r="K156" s="84"/>
    </row>
    <row r="157" spans="1:11" ht="13.15" customHeight="1" x14ac:dyDescent="0.25">
      <c r="A157" s="83">
        <v>4519810</v>
      </c>
      <c r="B157" s="120" t="s">
        <v>686</v>
      </c>
      <c r="C157" s="80">
        <v>43496</v>
      </c>
      <c r="D157" s="81"/>
      <c r="E157" s="81"/>
      <c r="F157" s="82" t="s">
        <v>596</v>
      </c>
      <c r="G157" s="82" t="s">
        <v>597</v>
      </c>
      <c r="H157" s="81"/>
      <c r="I157" s="83" t="s">
        <v>596</v>
      </c>
      <c r="J157" s="83" t="s">
        <v>596</v>
      </c>
      <c r="K157" s="84"/>
    </row>
    <row r="158" spans="1:11" ht="13.15" customHeight="1" x14ac:dyDescent="0.25">
      <c r="A158" s="83">
        <v>4519860</v>
      </c>
      <c r="B158" s="120" t="s">
        <v>687</v>
      </c>
      <c r="C158" s="80">
        <v>44426</v>
      </c>
      <c r="D158" s="81"/>
      <c r="E158" s="81"/>
      <c r="F158" s="82" t="s">
        <v>597</v>
      </c>
      <c r="G158" s="82" t="s">
        <v>597</v>
      </c>
      <c r="H158" s="81"/>
      <c r="I158" s="83" t="s">
        <v>596</v>
      </c>
      <c r="J158" s="83" t="s">
        <v>596</v>
      </c>
      <c r="K158" s="84"/>
    </row>
  </sheetData>
  <autoFilter ref="A6:K158" xr:uid="{E94E5812-3053-44A7-9964-195BC8D81AC9}"/>
  <mergeCells count="10">
    <mergeCell ref="A3:G3"/>
    <mergeCell ref="H3:I3"/>
    <mergeCell ref="J3:L3"/>
    <mergeCell ref="E4:F4"/>
    <mergeCell ref="A1:E1"/>
    <mergeCell ref="F1:I1"/>
    <mergeCell ref="J1:K1"/>
    <mergeCell ref="A2:G2"/>
    <mergeCell ref="H2:I2"/>
    <mergeCell ref="J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90A3-8107-4565-BD97-CF3FB41D7F0C}">
  <sheetPr codeName="Sheet12"/>
  <dimension ref="B2:O41"/>
  <sheetViews>
    <sheetView topLeftCell="A9" workbookViewId="0">
      <selection activeCell="O1" sqref="A1:O1048576"/>
    </sheetView>
  </sheetViews>
  <sheetFormatPr defaultRowHeight="15" x14ac:dyDescent="0.25"/>
  <cols>
    <col min="2" max="2" width="17.5703125" bestFit="1" customWidth="1"/>
    <col min="3" max="3" width="32.42578125" bestFit="1" customWidth="1"/>
    <col min="4" max="4" width="51" bestFit="1" customWidth="1"/>
    <col min="5" max="5" width="33.85546875" bestFit="1" customWidth="1"/>
    <col min="6" max="6" width="45.5703125" bestFit="1" customWidth="1"/>
    <col min="7" max="7" width="21.7109375" bestFit="1" customWidth="1"/>
    <col min="8" max="8" width="26.42578125" bestFit="1" customWidth="1"/>
    <col min="9" max="9" width="16.42578125" bestFit="1" customWidth="1"/>
    <col min="10" max="10" width="16" bestFit="1" customWidth="1"/>
    <col min="11" max="11" width="6.140625" bestFit="1" customWidth="1"/>
    <col min="12" max="12" width="23.7109375" bestFit="1" customWidth="1"/>
    <col min="13" max="13" width="19.140625" bestFit="1" customWidth="1"/>
    <col min="14" max="14" width="17" bestFit="1" customWidth="1"/>
    <col min="15" max="15" width="18.42578125" bestFit="1" customWidth="1"/>
  </cols>
  <sheetData>
    <row r="2" spans="2:15" ht="18.75" x14ac:dyDescent="0.25">
      <c r="B2" s="19" t="s">
        <v>2</v>
      </c>
      <c r="C2" s="19" t="s">
        <v>267</v>
      </c>
      <c r="D2" s="19" t="s">
        <v>268</v>
      </c>
      <c r="E2" s="92" t="s">
        <v>270</v>
      </c>
      <c r="F2" s="92" t="s">
        <v>271</v>
      </c>
      <c r="G2" s="92" t="s">
        <v>5</v>
      </c>
      <c r="H2" s="92" t="s">
        <v>4</v>
      </c>
      <c r="I2" s="92" t="s">
        <v>7</v>
      </c>
      <c r="J2" s="114" t="s">
        <v>3</v>
      </c>
      <c r="K2" s="114" t="s">
        <v>4</v>
      </c>
      <c r="L2" s="114" t="s">
        <v>8</v>
      </c>
      <c r="M2" s="114" t="s">
        <v>275</v>
      </c>
      <c r="N2" s="114" t="s">
        <v>9</v>
      </c>
      <c r="O2" s="114" t="s">
        <v>10</v>
      </c>
    </row>
    <row r="3" spans="2:15" x14ac:dyDescent="0.25">
      <c r="B3" s="21">
        <v>4510195</v>
      </c>
      <c r="C3" s="20" t="s">
        <v>12</v>
      </c>
      <c r="D3" s="98" t="s">
        <v>18</v>
      </c>
      <c r="E3" s="99" t="s">
        <v>277</v>
      </c>
      <c r="F3" s="98" t="s">
        <v>278</v>
      </c>
      <c r="G3" s="21" t="s">
        <v>373</v>
      </c>
      <c r="H3" s="91" t="s">
        <v>374</v>
      </c>
      <c r="I3" s="36" t="s">
        <v>151</v>
      </c>
      <c r="J3" s="21"/>
      <c r="K3" s="21"/>
      <c r="L3" s="21"/>
      <c r="M3" s="21"/>
      <c r="N3" s="21"/>
      <c r="O3" s="21"/>
    </row>
    <row r="4" spans="2:15" x14ac:dyDescent="0.25">
      <c r="B4" s="21">
        <v>4518113</v>
      </c>
      <c r="C4" s="20" t="s">
        <v>53</v>
      </c>
      <c r="D4" s="98" t="s">
        <v>417</v>
      </c>
      <c r="E4" s="99" t="s">
        <v>146</v>
      </c>
      <c r="F4" s="98" t="s">
        <v>418</v>
      </c>
      <c r="G4" s="21" t="s">
        <v>16</v>
      </c>
      <c r="H4" s="91" t="s">
        <v>17</v>
      </c>
      <c r="I4" s="36" t="s">
        <v>151</v>
      </c>
      <c r="J4" s="21"/>
      <c r="K4" s="21"/>
      <c r="L4" s="21"/>
      <c r="M4" s="21"/>
      <c r="N4" s="21"/>
      <c r="O4" s="21"/>
    </row>
    <row r="5" spans="2:15" x14ac:dyDescent="0.25">
      <c r="B5" s="21">
        <v>4511300</v>
      </c>
      <c r="C5" s="20" t="s">
        <v>62</v>
      </c>
      <c r="D5" s="98" t="s">
        <v>66</v>
      </c>
      <c r="E5" s="99" t="s">
        <v>62</v>
      </c>
      <c r="F5" s="98" t="s">
        <v>710</v>
      </c>
      <c r="G5" s="21" t="s">
        <v>148</v>
      </c>
      <c r="H5" s="91" t="s">
        <v>149</v>
      </c>
      <c r="I5" s="36" t="s">
        <v>151</v>
      </c>
      <c r="J5" s="21"/>
      <c r="K5" s="21"/>
      <c r="L5" s="21"/>
      <c r="M5" s="21"/>
      <c r="N5" s="21"/>
      <c r="O5" s="21"/>
    </row>
    <row r="6" spans="2:15" x14ac:dyDescent="0.25">
      <c r="B6" s="21">
        <v>4511600</v>
      </c>
      <c r="C6" s="20" t="s">
        <v>62</v>
      </c>
      <c r="D6" s="98" t="s">
        <v>71</v>
      </c>
      <c r="E6" s="99" t="s">
        <v>62</v>
      </c>
      <c r="F6" s="98" t="s">
        <v>312</v>
      </c>
      <c r="G6" s="21" t="s">
        <v>98</v>
      </c>
      <c r="H6" s="91" t="s">
        <v>99</v>
      </c>
      <c r="I6" s="36" t="s">
        <v>151</v>
      </c>
      <c r="J6" s="21"/>
      <c r="K6" s="21"/>
      <c r="L6" s="21"/>
      <c r="M6" s="21"/>
      <c r="N6" s="21"/>
      <c r="O6" s="21"/>
    </row>
    <row r="7" spans="2:15" x14ac:dyDescent="0.25">
      <c r="B7" s="21">
        <v>4516100</v>
      </c>
      <c r="C7" s="20" t="s">
        <v>62</v>
      </c>
      <c r="D7" s="98" t="s">
        <v>316</v>
      </c>
      <c r="E7" s="99" t="s">
        <v>62</v>
      </c>
      <c r="F7" s="98" t="s">
        <v>317</v>
      </c>
      <c r="G7" s="21" t="s">
        <v>98</v>
      </c>
      <c r="H7" s="91" t="s">
        <v>99</v>
      </c>
      <c r="I7" s="36" t="s">
        <v>151</v>
      </c>
      <c r="J7" s="21"/>
      <c r="K7" s="21"/>
      <c r="L7" s="21"/>
      <c r="M7" s="21"/>
      <c r="N7" s="21"/>
      <c r="O7" s="21"/>
    </row>
    <row r="8" spans="2:15" x14ac:dyDescent="0.25">
      <c r="B8" s="21">
        <v>4511010</v>
      </c>
      <c r="C8" s="20" t="s">
        <v>62</v>
      </c>
      <c r="D8" s="98" t="s">
        <v>81</v>
      </c>
      <c r="E8" s="99" t="s">
        <v>62</v>
      </c>
      <c r="F8" s="98" t="s">
        <v>711</v>
      </c>
      <c r="G8" s="21" t="s">
        <v>148</v>
      </c>
      <c r="H8" s="91" t="s">
        <v>149</v>
      </c>
      <c r="I8" s="36" t="s">
        <v>151</v>
      </c>
      <c r="J8" s="21"/>
      <c r="K8" s="21"/>
      <c r="L8" s="21"/>
      <c r="M8" s="21"/>
      <c r="N8" s="21"/>
      <c r="O8" s="21"/>
    </row>
    <row r="9" spans="2:15" x14ac:dyDescent="0.25">
      <c r="B9" s="21">
        <v>4511011</v>
      </c>
      <c r="C9" s="20" t="s">
        <v>62</v>
      </c>
      <c r="D9" s="98" t="s">
        <v>325</v>
      </c>
      <c r="E9" s="103" t="s">
        <v>62</v>
      </c>
      <c r="F9" s="104" t="s">
        <v>85</v>
      </c>
      <c r="G9" s="21" t="s">
        <v>148</v>
      </c>
      <c r="H9" s="91" t="s">
        <v>149</v>
      </c>
      <c r="I9" s="36" t="s">
        <v>151</v>
      </c>
      <c r="J9" s="21"/>
      <c r="K9" s="21"/>
      <c r="L9" s="21"/>
      <c r="M9" s="21"/>
      <c r="N9" s="21"/>
      <c r="O9" s="21"/>
    </row>
    <row r="10" spans="2:15" x14ac:dyDescent="0.25">
      <c r="B10" s="21">
        <v>4511150</v>
      </c>
      <c r="C10" s="20" t="s">
        <v>62</v>
      </c>
      <c r="D10" s="98" t="s">
        <v>92</v>
      </c>
      <c r="E10" s="99" t="s">
        <v>62</v>
      </c>
      <c r="F10" s="98" t="s">
        <v>355</v>
      </c>
      <c r="G10" s="21" t="s">
        <v>148</v>
      </c>
      <c r="H10" s="91" t="s">
        <v>149</v>
      </c>
      <c r="I10" s="36" t="s">
        <v>151</v>
      </c>
      <c r="J10" s="21"/>
      <c r="K10" s="21"/>
      <c r="L10" s="21"/>
      <c r="M10" s="21"/>
      <c r="N10" s="21"/>
      <c r="O10" s="21"/>
    </row>
    <row r="11" spans="2:15" x14ac:dyDescent="0.25">
      <c r="B11" s="21">
        <v>4511250</v>
      </c>
      <c r="C11" s="20" t="s">
        <v>62</v>
      </c>
      <c r="D11" s="98" t="s">
        <v>100</v>
      </c>
      <c r="E11" s="99" t="s">
        <v>62</v>
      </c>
      <c r="F11" s="98" t="s">
        <v>332</v>
      </c>
      <c r="G11" s="21" t="s">
        <v>98</v>
      </c>
      <c r="H11" s="91" t="s">
        <v>99</v>
      </c>
      <c r="I11" s="36" t="s">
        <v>151</v>
      </c>
      <c r="J11" s="21"/>
      <c r="K11" s="21"/>
      <c r="L11" s="21"/>
      <c r="M11" s="21"/>
      <c r="N11" s="21"/>
      <c r="O11" s="21"/>
    </row>
    <row r="12" spans="2:15" x14ac:dyDescent="0.25">
      <c r="B12" s="21">
        <v>4511550</v>
      </c>
      <c r="C12" s="20" t="s">
        <v>62</v>
      </c>
      <c r="D12" s="98" t="s">
        <v>105</v>
      </c>
      <c r="E12" s="99" t="s">
        <v>62</v>
      </c>
      <c r="F12" s="98" t="s">
        <v>339</v>
      </c>
      <c r="G12" s="21" t="s">
        <v>148</v>
      </c>
      <c r="H12" s="91" t="s">
        <v>149</v>
      </c>
      <c r="I12" s="36" t="s">
        <v>151</v>
      </c>
      <c r="J12" s="21"/>
      <c r="K12" s="21"/>
      <c r="L12" s="21"/>
      <c r="M12" s="21"/>
      <c r="N12" s="21"/>
      <c r="O12" s="21"/>
    </row>
    <row r="13" spans="2:15" x14ac:dyDescent="0.25">
      <c r="B13" s="21">
        <v>4511700</v>
      </c>
      <c r="C13" s="20" t="s">
        <v>62</v>
      </c>
      <c r="D13" s="98" t="s">
        <v>110</v>
      </c>
      <c r="E13" s="99" t="s">
        <v>62</v>
      </c>
      <c r="F13" s="98" t="s">
        <v>343</v>
      </c>
      <c r="G13" s="21" t="s">
        <v>148</v>
      </c>
      <c r="H13" s="91" t="s">
        <v>149</v>
      </c>
      <c r="I13" s="36" t="s">
        <v>151</v>
      </c>
      <c r="J13" s="21"/>
      <c r="K13" s="21"/>
      <c r="L13" s="21"/>
      <c r="M13" s="21"/>
      <c r="N13" s="21"/>
      <c r="O13" s="21"/>
    </row>
    <row r="14" spans="2:15" x14ac:dyDescent="0.25">
      <c r="B14" s="21">
        <v>4511750</v>
      </c>
      <c r="C14" s="20" t="s">
        <v>62</v>
      </c>
      <c r="D14" s="98" t="s">
        <v>346</v>
      </c>
      <c r="E14" s="99" t="s">
        <v>62</v>
      </c>
      <c r="F14" s="98" t="s">
        <v>542</v>
      </c>
      <c r="G14" s="21" t="s">
        <v>98</v>
      </c>
      <c r="H14" s="91" t="s">
        <v>99</v>
      </c>
      <c r="I14" s="36" t="s">
        <v>151</v>
      </c>
      <c r="J14" s="21"/>
      <c r="K14" s="21"/>
      <c r="L14" s="21"/>
      <c r="M14" s="21"/>
      <c r="N14" s="21"/>
      <c r="O14" s="21"/>
    </row>
    <row r="15" spans="2:15" x14ac:dyDescent="0.25">
      <c r="B15" s="21">
        <v>4511800</v>
      </c>
      <c r="C15" s="20" t="s">
        <v>62</v>
      </c>
      <c r="D15" s="98" t="s">
        <v>351</v>
      </c>
      <c r="E15" s="99" t="s">
        <v>62</v>
      </c>
      <c r="F15" s="98" t="s">
        <v>544</v>
      </c>
      <c r="G15" s="21" t="s">
        <v>98</v>
      </c>
      <c r="H15" s="91" t="s">
        <v>99</v>
      </c>
      <c r="I15" s="36" t="s">
        <v>151</v>
      </c>
      <c r="J15" s="21"/>
      <c r="K15" s="21"/>
      <c r="L15" s="21"/>
      <c r="M15" s="21"/>
      <c r="N15" s="21"/>
      <c r="O15" s="21"/>
    </row>
    <row r="16" spans="2:15" x14ac:dyDescent="0.25">
      <c r="B16" s="21">
        <v>4510110</v>
      </c>
      <c r="C16" s="20" t="s">
        <v>121</v>
      </c>
      <c r="D16" s="98" t="s">
        <v>356</v>
      </c>
      <c r="E16" s="99" t="s">
        <v>121</v>
      </c>
      <c r="F16" s="98" t="s">
        <v>358</v>
      </c>
      <c r="G16" s="21" t="s">
        <v>16</v>
      </c>
      <c r="H16" s="91" t="s">
        <v>17</v>
      </c>
      <c r="I16" s="36" t="s">
        <v>151</v>
      </c>
      <c r="J16" s="21"/>
      <c r="K16" s="21"/>
      <c r="L16" s="21"/>
      <c r="M16" s="21"/>
      <c r="N16" s="21"/>
      <c r="O16" s="21"/>
    </row>
    <row r="17" spans="2:15" x14ac:dyDescent="0.25">
      <c r="B17" s="21">
        <v>4510140</v>
      </c>
      <c r="C17" s="20" t="s">
        <v>121</v>
      </c>
      <c r="D17" s="98" t="s">
        <v>366</v>
      </c>
      <c r="E17" s="99" t="s">
        <v>121</v>
      </c>
      <c r="F17" s="98" t="s">
        <v>367</v>
      </c>
      <c r="G17" s="21" t="s">
        <v>16</v>
      </c>
      <c r="H17" s="91" t="s">
        <v>17</v>
      </c>
      <c r="I17" s="36" t="s">
        <v>151</v>
      </c>
      <c r="J17" s="21"/>
      <c r="K17" s="21"/>
      <c r="L17" s="21"/>
      <c r="M17" s="21"/>
      <c r="N17" s="21"/>
      <c r="O17" s="21"/>
    </row>
    <row r="18" spans="2:15" x14ac:dyDescent="0.25">
      <c r="B18" s="21">
        <v>4510150</v>
      </c>
      <c r="C18" s="20" t="s">
        <v>121</v>
      </c>
      <c r="D18" s="98" t="s">
        <v>372</v>
      </c>
      <c r="E18" s="99" t="s">
        <v>121</v>
      </c>
      <c r="F18" s="98" t="s">
        <v>712</v>
      </c>
      <c r="G18" s="21" t="s">
        <v>373</v>
      </c>
      <c r="H18" s="91" t="s">
        <v>374</v>
      </c>
      <c r="I18" s="36" t="s">
        <v>151</v>
      </c>
      <c r="J18" s="21"/>
      <c r="K18" s="21"/>
      <c r="L18" s="21"/>
      <c r="M18" s="21"/>
      <c r="N18" s="21"/>
      <c r="O18" s="21"/>
    </row>
    <row r="19" spans="2:15" x14ac:dyDescent="0.25">
      <c r="B19" s="21">
        <v>4510155</v>
      </c>
      <c r="C19" s="20" t="s">
        <v>121</v>
      </c>
      <c r="D19" s="98" t="s">
        <v>379</v>
      </c>
      <c r="E19" s="99" t="s">
        <v>121</v>
      </c>
      <c r="F19" s="98" t="s">
        <v>548</v>
      </c>
      <c r="G19" s="21" t="s">
        <v>373</v>
      </c>
      <c r="H19" s="91" t="s">
        <v>374</v>
      </c>
      <c r="I19" s="36" t="s">
        <v>151</v>
      </c>
      <c r="J19" s="21"/>
      <c r="K19" s="21"/>
      <c r="L19" s="21"/>
      <c r="M19" s="21"/>
      <c r="N19" s="21"/>
      <c r="O19" s="21"/>
    </row>
    <row r="20" spans="2:15" x14ac:dyDescent="0.25">
      <c r="B20" s="21">
        <v>4510160</v>
      </c>
      <c r="C20" s="20" t="s">
        <v>121</v>
      </c>
      <c r="D20" s="98" t="s">
        <v>382</v>
      </c>
      <c r="E20" s="99" t="s">
        <v>121</v>
      </c>
      <c r="F20" s="98" t="s">
        <v>549</v>
      </c>
      <c r="G20" s="21" t="s">
        <v>16</v>
      </c>
      <c r="H20" s="91" t="s">
        <v>17</v>
      </c>
      <c r="I20" s="36" t="s">
        <v>151</v>
      </c>
      <c r="J20" s="21"/>
      <c r="K20" s="21"/>
      <c r="L20" s="21"/>
      <c r="M20" s="21"/>
      <c r="N20" s="21"/>
      <c r="O20" s="21"/>
    </row>
    <row r="21" spans="2:15" x14ac:dyDescent="0.25">
      <c r="B21" s="21">
        <v>4512010</v>
      </c>
      <c r="C21" s="20" t="s">
        <v>146</v>
      </c>
      <c r="D21" s="98" t="s">
        <v>387</v>
      </c>
      <c r="E21" s="99" t="s">
        <v>146</v>
      </c>
      <c r="F21" s="98" t="s">
        <v>713</v>
      </c>
      <c r="G21" s="21" t="s">
        <v>16</v>
      </c>
      <c r="H21" s="91" t="s">
        <v>17</v>
      </c>
      <c r="I21" s="36" t="s">
        <v>151</v>
      </c>
      <c r="J21" s="21"/>
      <c r="K21" s="21"/>
      <c r="L21" s="21"/>
      <c r="M21" s="21"/>
      <c r="N21" s="21"/>
      <c r="O21" s="21"/>
    </row>
    <row r="22" spans="2:15" x14ac:dyDescent="0.25">
      <c r="B22" s="21">
        <v>4512100</v>
      </c>
      <c r="C22" s="20" t="s">
        <v>146</v>
      </c>
      <c r="D22" s="98" t="s">
        <v>394</v>
      </c>
      <c r="E22" s="99" t="s">
        <v>146</v>
      </c>
      <c r="F22" s="98" t="s">
        <v>553</v>
      </c>
      <c r="G22" s="21" t="s">
        <v>16</v>
      </c>
      <c r="H22" s="91" t="s">
        <v>17</v>
      </c>
      <c r="I22" s="36" t="s">
        <v>151</v>
      </c>
      <c r="J22" s="21"/>
      <c r="K22" s="21"/>
      <c r="L22" s="21"/>
      <c r="M22" s="21"/>
      <c r="N22" s="21"/>
      <c r="O22" s="21"/>
    </row>
    <row r="23" spans="2:15" x14ac:dyDescent="0.25">
      <c r="B23" s="21">
        <v>4512200</v>
      </c>
      <c r="C23" s="20" t="s">
        <v>146</v>
      </c>
      <c r="D23" s="98" t="s">
        <v>399</v>
      </c>
      <c r="E23" s="99" t="s">
        <v>146</v>
      </c>
      <c r="F23" s="98" t="s">
        <v>400</v>
      </c>
      <c r="G23" s="21" t="s">
        <v>16</v>
      </c>
      <c r="H23" s="91" t="s">
        <v>17</v>
      </c>
      <c r="I23" s="36" t="s">
        <v>151</v>
      </c>
      <c r="J23" s="21"/>
      <c r="K23" s="21"/>
      <c r="L23" s="21"/>
      <c r="M23" s="21"/>
      <c r="N23" s="21"/>
      <c r="O23" s="21"/>
    </row>
    <row r="24" spans="2:15" x14ac:dyDescent="0.25">
      <c r="B24" s="21">
        <v>4512300</v>
      </c>
      <c r="C24" s="20" t="s">
        <v>146</v>
      </c>
      <c r="D24" s="98" t="s">
        <v>405</v>
      </c>
      <c r="E24" s="99" t="s">
        <v>146</v>
      </c>
      <c r="F24" s="98" t="s">
        <v>406</v>
      </c>
      <c r="G24" s="21" t="s">
        <v>16</v>
      </c>
      <c r="H24" s="91" t="s">
        <v>17</v>
      </c>
      <c r="I24" s="36" t="s">
        <v>151</v>
      </c>
      <c r="J24" s="21"/>
      <c r="K24" s="21"/>
      <c r="L24" s="21"/>
      <c r="M24" s="21"/>
      <c r="N24" s="21"/>
      <c r="O24" s="21"/>
    </row>
    <row r="25" spans="2:15" x14ac:dyDescent="0.25">
      <c r="B25" s="21">
        <v>4513110</v>
      </c>
      <c r="C25" s="20" t="s">
        <v>164</v>
      </c>
      <c r="D25" s="98" t="s">
        <v>170</v>
      </c>
      <c r="E25" s="99" t="s">
        <v>164</v>
      </c>
      <c r="F25" s="98" t="s">
        <v>170</v>
      </c>
      <c r="G25" s="21" t="s">
        <v>168</v>
      </c>
      <c r="H25" s="91" t="s">
        <v>169</v>
      </c>
      <c r="I25" s="36" t="s">
        <v>151</v>
      </c>
      <c r="J25" s="21"/>
      <c r="K25" s="21"/>
      <c r="L25" s="21"/>
      <c r="M25" s="21"/>
      <c r="N25" s="21"/>
      <c r="O25" s="21"/>
    </row>
    <row r="26" spans="2:15" x14ac:dyDescent="0.25">
      <c r="B26" s="21">
        <v>4513120</v>
      </c>
      <c r="C26" s="20" t="s">
        <v>164</v>
      </c>
      <c r="D26" s="98" t="s">
        <v>434</v>
      </c>
      <c r="E26" s="99" t="s">
        <v>164</v>
      </c>
      <c r="F26" s="98" t="s">
        <v>434</v>
      </c>
      <c r="G26" s="21" t="s">
        <v>168</v>
      </c>
      <c r="H26" s="91" t="s">
        <v>169</v>
      </c>
      <c r="I26" s="36" t="s">
        <v>151</v>
      </c>
      <c r="J26" s="21"/>
      <c r="K26" s="21"/>
      <c r="L26" s="21"/>
      <c r="M26" s="21"/>
      <c r="N26" s="21"/>
      <c r="O26" s="21"/>
    </row>
    <row r="27" spans="2:15" x14ac:dyDescent="0.25">
      <c r="B27" s="21">
        <v>4513130</v>
      </c>
      <c r="C27" s="20" t="s">
        <v>164</v>
      </c>
      <c r="D27" s="98" t="s">
        <v>177</v>
      </c>
      <c r="E27" s="99" t="s">
        <v>164</v>
      </c>
      <c r="F27" s="98" t="s">
        <v>177</v>
      </c>
      <c r="G27" s="21" t="s">
        <v>168</v>
      </c>
      <c r="H27" s="91" t="s">
        <v>169</v>
      </c>
      <c r="I27" s="36" t="s">
        <v>151</v>
      </c>
      <c r="J27" s="21"/>
      <c r="K27" s="21"/>
      <c r="L27" s="21"/>
      <c r="M27" s="21"/>
      <c r="N27" s="21"/>
      <c r="O27" s="21"/>
    </row>
    <row r="28" spans="2:15" x14ac:dyDescent="0.25">
      <c r="B28" s="21">
        <v>4513140</v>
      </c>
      <c r="C28" s="20" t="s">
        <v>164</v>
      </c>
      <c r="D28" s="98" t="s">
        <v>438</v>
      </c>
      <c r="E28" s="99" t="s">
        <v>164</v>
      </c>
      <c r="F28" s="98" t="s">
        <v>714</v>
      </c>
      <c r="G28" s="21" t="s">
        <v>168</v>
      </c>
      <c r="H28" s="91" t="s">
        <v>169</v>
      </c>
      <c r="I28" s="36" t="s">
        <v>151</v>
      </c>
      <c r="J28" s="21"/>
      <c r="K28" s="21"/>
      <c r="L28" s="21"/>
      <c r="M28" s="21"/>
      <c r="N28" s="21"/>
      <c r="O28" s="21"/>
    </row>
    <row r="29" spans="2:15" x14ac:dyDescent="0.25">
      <c r="B29" s="21">
        <v>4510201</v>
      </c>
      <c r="C29" s="20" t="s">
        <v>183</v>
      </c>
      <c r="D29" s="98" t="s">
        <v>441</v>
      </c>
      <c r="E29" s="99" t="s">
        <v>183</v>
      </c>
      <c r="F29" s="98" t="s">
        <v>185</v>
      </c>
      <c r="G29" s="21" t="s">
        <v>148</v>
      </c>
      <c r="H29" s="91" t="s">
        <v>149</v>
      </c>
      <c r="I29" s="36" t="s">
        <v>151</v>
      </c>
      <c r="J29" s="21"/>
      <c r="K29" s="21"/>
      <c r="L29" s="21"/>
      <c r="M29" s="21"/>
      <c r="N29" s="21"/>
      <c r="O29" s="21"/>
    </row>
    <row r="30" spans="2:15" x14ac:dyDescent="0.25">
      <c r="B30" s="21">
        <v>4510210</v>
      </c>
      <c r="C30" s="20" t="s">
        <v>183</v>
      </c>
      <c r="D30" s="98" t="s">
        <v>447</v>
      </c>
      <c r="E30" s="99" t="s">
        <v>183</v>
      </c>
      <c r="F30" s="98" t="s">
        <v>561</v>
      </c>
      <c r="G30" s="21" t="s">
        <v>148</v>
      </c>
      <c r="H30" s="91" t="s">
        <v>149</v>
      </c>
      <c r="I30" s="36" t="s">
        <v>151</v>
      </c>
      <c r="J30" s="21"/>
      <c r="K30" s="21"/>
      <c r="L30" s="21"/>
      <c r="M30" s="21"/>
      <c r="N30" s="21"/>
      <c r="O30" s="21"/>
    </row>
    <row r="31" spans="2:15" x14ac:dyDescent="0.25">
      <c r="B31" s="21">
        <v>4510220</v>
      </c>
      <c r="C31" s="20" t="s">
        <v>183</v>
      </c>
      <c r="D31" s="98" t="s">
        <v>450</v>
      </c>
      <c r="E31" s="99" t="s">
        <v>183</v>
      </c>
      <c r="F31" s="98" t="s">
        <v>562</v>
      </c>
      <c r="G31" s="21" t="s">
        <v>148</v>
      </c>
      <c r="H31" s="91" t="s">
        <v>149</v>
      </c>
      <c r="I31" s="36" t="s">
        <v>151</v>
      </c>
      <c r="J31" s="21"/>
      <c r="K31" s="21"/>
      <c r="L31" s="21"/>
      <c r="M31" s="21"/>
      <c r="N31" s="21"/>
      <c r="O31" s="21"/>
    </row>
    <row r="32" spans="2:15" x14ac:dyDescent="0.25">
      <c r="B32" s="21">
        <v>4510240</v>
      </c>
      <c r="C32" s="20" t="s">
        <v>183</v>
      </c>
      <c r="D32" s="98" t="s">
        <v>452</v>
      </c>
      <c r="E32" s="99" t="s">
        <v>183</v>
      </c>
      <c r="F32" s="98" t="s">
        <v>563</v>
      </c>
      <c r="G32" s="21" t="s">
        <v>148</v>
      </c>
      <c r="H32" s="91" t="s">
        <v>149</v>
      </c>
      <c r="I32" s="36" t="s">
        <v>151</v>
      </c>
      <c r="J32" s="21"/>
      <c r="K32" s="21"/>
      <c r="L32" s="21"/>
      <c r="M32" s="21"/>
      <c r="N32" s="21"/>
      <c r="O32" s="21"/>
    </row>
    <row r="33" spans="2:15" x14ac:dyDescent="0.25">
      <c r="B33" s="21">
        <v>4510250</v>
      </c>
      <c r="C33" s="20" t="s">
        <v>183</v>
      </c>
      <c r="D33" s="98" t="s">
        <v>455</v>
      </c>
      <c r="E33" s="99" t="s">
        <v>183</v>
      </c>
      <c r="F33" s="98" t="s">
        <v>456</v>
      </c>
      <c r="G33" s="21" t="s">
        <v>148</v>
      </c>
      <c r="H33" s="91" t="s">
        <v>149</v>
      </c>
      <c r="I33" s="36" t="s">
        <v>151</v>
      </c>
      <c r="J33" s="21"/>
      <c r="K33" s="21"/>
      <c r="L33" s="21"/>
      <c r="M33" s="21"/>
      <c r="N33" s="21"/>
      <c r="O33" s="21"/>
    </row>
    <row r="34" spans="2:15" x14ac:dyDescent="0.25">
      <c r="B34" s="21">
        <v>4510170</v>
      </c>
      <c r="C34" s="20" t="s">
        <v>216</v>
      </c>
      <c r="D34" s="98" t="s">
        <v>462</v>
      </c>
      <c r="E34" s="99" t="s">
        <v>216</v>
      </c>
      <c r="F34" s="98" t="s">
        <v>568</v>
      </c>
      <c r="G34" s="21" t="s">
        <v>218</v>
      </c>
      <c r="H34" s="91" t="s">
        <v>219</v>
      </c>
      <c r="I34" s="36" t="s">
        <v>151</v>
      </c>
      <c r="J34" s="21"/>
      <c r="K34" s="21"/>
      <c r="L34" s="21"/>
      <c r="M34" s="21"/>
      <c r="N34" s="21"/>
      <c r="O34" s="21"/>
    </row>
    <row r="35" spans="2:15" x14ac:dyDescent="0.25">
      <c r="B35" s="21">
        <v>4515300</v>
      </c>
      <c r="C35" s="20" t="s">
        <v>216</v>
      </c>
      <c r="D35" s="98" t="s">
        <v>465</v>
      </c>
      <c r="E35" s="99" t="s">
        <v>216</v>
      </c>
      <c r="F35" s="98" t="s">
        <v>715</v>
      </c>
      <c r="G35" s="21" t="s">
        <v>218</v>
      </c>
      <c r="H35" s="91" t="s">
        <v>219</v>
      </c>
      <c r="I35" s="36" t="s">
        <v>151</v>
      </c>
      <c r="J35" s="21"/>
      <c r="K35" s="21"/>
      <c r="L35" s="21"/>
      <c r="M35" s="21"/>
      <c r="N35" s="21"/>
      <c r="O35" s="21"/>
    </row>
    <row r="36" spans="2:15" x14ac:dyDescent="0.25">
      <c r="B36" s="21">
        <v>4515400</v>
      </c>
      <c r="C36" s="20" t="s">
        <v>216</v>
      </c>
      <c r="D36" s="98" t="s">
        <v>233</v>
      </c>
      <c r="E36" s="99" t="s">
        <v>216</v>
      </c>
      <c r="F36" s="98" t="s">
        <v>716</v>
      </c>
      <c r="G36" s="21" t="s">
        <v>218</v>
      </c>
      <c r="H36" s="91" t="s">
        <v>219</v>
      </c>
      <c r="I36" s="36" t="s">
        <v>151</v>
      </c>
      <c r="J36" s="21"/>
      <c r="K36" s="21"/>
      <c r="L36" s="21"/>
      <c r="M36" s="21"/>
      <c r="N36" s="21"/>
      <c r="O36" s="21"/>
    </row>
    <row r="37" spans="2:15" x14ac:dyDescent="0.25">
      <c r="B37" s="21">
        <v>4515500</v>
      </c>
      <c r="C37" s="20" t="s">
        <v>216</v>
      </c>
      <c r="D37" s="98" t="s">
        <v>240</v>
      </c>
      <c r="E37" s="99" t="s">
        <v>216</v>
      </c>
      <c r="F37" s="98" t="s">
        <v>240</v>
      </c>
      <c r="G37" s="21" t="s">
        <v>168</v>
      </c>
      <c r="H37" s="91" t="s">
        <v>169</v>
      </c>
      <c r="I37" s="36" t="s">
        <v>151</v>
      </c>
      <c r="J37" s="21"/>
      <c r="K37" s="21"/>
      <c r="L37" s="21"/>
      <c r="M37" s="21"/>
      <c r="N37" s="21"/>
      <c r="O37" s="21"/>
    </row>
    <row r="38" spans="2:15" x14ac:dyDescent="0.25">
      <c r="B38" s="21">
        <v>4515700</v>
      </c>
      <c r="C38" s="20" t="s">
        <v>216</v>
      </c>
      <c r="D38" s="98" t="s">
        <v>482</v>
      </c>
      <c r="E38" s="99" t="s">
        <v>216</v>
      </c>
      <c r="F38" s="98" t="s">
        <v>717</v>
      </c>
      <c r="G38" s="21" t="s">
        <v>218</v>
      </c>
      <c r="H38" s="91" t="s">
        <v>219</v>
      </c>
      <c r="I38" s="36" t="s">
        <v>151</v>
      </c>
      <c r="J38" s="21"/>
      <c r="K38" s="21"/>
      <c r="L38" s="21"/>
      <c r="M38" s="21"/>
      <c r="N38" s="21"/>
      <c r="O38" s="21"/>
    </row>
    <row r="39" spans="2:15" x14ac:dyDescent="0.25">
      <c r="B39" s="21">
        <v>4515010</v>
      </c>
      <c r="C39" s="20" t="s">
        <v>216</v>
      </c>
      <c r="D39" s="98" t="s">
        <v>485</v>
      </c>
      <c r="E39" s="99" t="s">
        <v>216</v>
      </c>
      <c r="F39" s="98" t="s">
        <v>486</v>
      </c>
      <c r="G39" s="21" t="s">
        <v>218</v>
      </c>
      <c r="H39" s="91" t="s">
        <v>219</v>
      </c>
      <c r="I39" s="36" t="s">
        <v>151</v>
      </c>
      <c r="J39" s="21"/>
      <c r="K39" s="21"/>
      <c r="L39" s="21"/>
      <c r="M39" s="21"/>
      <c r="N39" s="21"/>
      <c r="O39" s="21"/>
    </row>
    <row r="40" spans="2:15" x14ac:dyDescent="0.25">
      <c r="B40" s="21">
        <v>4515100</v>
      </c>
      <c r="C40" s="20" t="s">
        <v>216</v>
      </c>
      <c r="D40" s="98" t="s">
        <v>491</v>
      </c>
      <c r="E40" s="99" t="s">
        <v>216</v>
      </c>
      <c r="F40" s="98" t="s">
        <v>492</v>
      </c>
      <c r="G40" s="21" t="s">
        <v>218</v>
      </c>
      <c r="H40" s="91" t="s">
        <v>219</v>
      </c>
      <c r="I40" s="36" t="s">
        <v>151</v>
      </c>
      <c r="J40" s="21"/>
      <c r="K40" s="21"/>
      <c r="L40" s="21"/>
      <c r="M40" s="21"/>
      <c r="N40" s="21"/>
      <c r="O40" s="21"/>
    </row>
    <row r="41" spans="2:15" x14ac:dyDescent="0.25">
      <c r="B41" s="21">
        <v>4515900</v>
      </c>
      <c r="C41" s="20" t="s">
        <v>216</v>
      </c>
      <c r="D41" s="98" t="s">
        <v>499</v>
      </c>
      <c r="E41" s="99" t="s">
        <v>216</v>
      </c>
      <c r="F41" s="98" t="s">
        <v>499</v>
      </c>
      <c r="G41" s="21" t="s">
        <v>218</v>
      </c>
      <c r="H41" s="91" t="s">
        <v>219</v>
      </c>
      <c r="I41" s="36" t="s">
        <v>151</v>
      </c>
      <c r="J41" s="21"/>
      <c r="K41" s="21"/>
      <c r="L41" s="21"/>
      <c r="M41" s="21"/>
      <c r="N41" s="21"/>
      <c r="O41" s="21"/>
    </row>
  </sheetData>
  <autoFilter ref="B2:I41" xr:uid="{3C0A90A3-8107-4565-BD97-CF3FB41D7F0C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70E08-A06A-4A37-ACDE-C3F1FB7BD769}">
  <sheetPr codeName="Sheet13"/>
  <dimension ref="C2:F41"/>
  <sheetViews>
    <sheetView topLeftCell="C12" workbookViewId="0">
      <selection activeCell="H7" sqref="H7"/>
    </sheetView>
  </sheetViews>
  <sheetFormatPr defaultRowHeight="15" x14ac:dyDescent="0.25"/>
  <cols>
    <col min="3" max="3" width="35.42578125" bestFit="1" customWidth="1"/>
    <col min="4" max="4" width="45.5703125" bestFit="1" customWidth="1"/>
    <col min="5" max="5" width="22.85546875" bestFit="1" customWidth="1"/>
    <col min="6" max="6" width="20.140625" bestFit="1" customWidth="1"/>
  </cols>
  <sheetData>
    <row r="2" spans="3:6" ht="18.75" x14ac:dyDescent="0.25">
      <c r="C2" s="19" t="s">
        <v>0</v>
      </c>
      <c r="D2" s="19" t="s">
        <v>1</v>
      </c>
      <c r="E2" s="19" t="s">
        <v>5</v>
      </c>
      <c r="F2" s="19" t="s">
        <v>7</v>
      </c>
    </row>
    <row r="3" spans="3:6" x14ac:dyDescent="0.25">
      <c r="C3" s="20" t="s">
        <v>12</v>
      </c>
      <c r="D3" s="20" t="s">
        <v>18</v>
      </c>
      <c r="E3" s="22" t="s">
        <v>16</v>
      </c>
      <c r="F3" s="25" t="s">
        <v>19</v>
      </c>
    </row>
    <row r="4" spans="3:6" x14ac:dyDescent="0.25">
      <c r="C4" s="23" t="s">
        <v>53</v>
      </c>
      <c r="D4" s="23" t="s">
        <v>58</v>
      </c>
      <c r="E4" s="23" t="s">
        <v>19</v>
      </c>
      <c r="F4" s="30" t="s">
        <v>19</v>
      </c>
    </row>
    <row r="5" spans="3:6" x14ac:dyDescent="0.25">
      <c r="C5" s="23" t="s">
        <v>62</v>
      </c>
      <c r="D5" s="23" t="s">
        <v>66</v>
      </c>
      <c r="E5" s="23" t="s">
        <v>718</v>
      </c>
      <c r="F5" s="30" t="s">
        <v>19</v>
      </c>
    </row>
    <row r="6" spans="3:6" x14ac:dyDescent="0.25">
      <c r="C6" s="23" t="s">
        <v>62</v>
      </c>
      <c r="D6" s="23" t="s">
        <v>71</v>
      </c>
      <c r="E6" s="23" t="s">
        <v>718</v>
      </c>
      <c r="F6" s="30" t="s">
        <v>19</v>
      </c>
    </row>
    <row r="7" spans="3:6" x14ac:dyDescent="0.25">
      <c r="C7" s="23" t="s">
        <v>62</v>
      </c>
      <c r="D7" s="23" t="s">
        <v>76</v>
      </c>
      <c r="E7" s="23" t="s">
        <v>718</v>
      </c>
      <c r="F7" s="30" t="s">
        <v>19</v>
      </c>
    </row>
    <row r="8" spans="3:6" x14ac:dyDescent="0.25">
      <c r="C8" s="23" t="s">
        <v>62</v>
      </c>
      <c r="D8" s="23" t="s">
        <v>81</v>
      </c>
      <c r="E8" s="23" t="s">
        <v>19</v>
      </c>
      <c r="F8" s="30" t="s">
        <v>19</v>
      </c>
    </row>
    <row r="9" spans="3:6" x14ac:dyDescent="0.25">
      <c r="C9" s="23" t="s">
        <v>62</v>
      </c>
      <c r="D9" s="23" t="s">
        <v>85</v>
      </c>
      <c r="E9" s="23" t="s">
        <v>19</v>
      </c>
      <c r="F9" s="30" t="s">
        <v>19</v>
      </c>
    </row>
    <row r="10" spans="3:6" x14ac:dyDescent="0.25">
      <c r="C10" s="23" t="s">
        <v>62</v>
      </c>
      <c r="D10" s="23" t="s">
        <v>92</v>
      </c>
      <c r="E10" s="22" t="s">
        <v>19</v>
      </c>
      <c r="F10" s="30" t="s">
        <v>19</v>
      </c>
    </row>
    <row r="11" spans="3:6" x14ac:dyDescent="0.25">
      <c r="C11" s="20" t="s">
        <v>62</v>
      </c>
      <c r="D11" s="20" t="s">
        <v>100</v>
      </c>
      <c r="E11" s="22" t="s">
        <v>98</v>
      </c>
      <c r="F11" s="25" t="s">
        <v>19</v>
      </c>
    </row>
    <row r="12" spans="3:6" x14ac:dyDescent="0.25">
      <c r="C12" s="20" t="s">
        <v>62</v>
      </c>
      <c r="D12" s="20" t="s">
        <v>105</v>
      </c>
      <c r="E12" s="22" t="s">
        <v>98</v>
      </c>
      <c r="F12" s="25" t="s">
        <v>19</v>
      </c>
    </row>
    <row r="13" spans="3:6" x14ac:dyDescent="0.25">
      <c r="C13" s="20" t="s">
        <v>62</v>
      </c>
      <c r="D13" s="20" t="s">
        <v>110</v>
      </c>
      <c r="E13" s="22" t="s">
        <v>98</v>
      </c>
      <c r="F13" s="25" t="s">
        <v>19</v>
      </c>
    </row>
    <row r="14" spans="3:6" x14ac:dyDescent="0.25">
      <c r="C14" s="20" t="s">
        <v>62</v>
      </c>
      <c r="D14" s="20" t="s">
        <v>113</v>
      </c>
      <c r="E14" s="22" t="s">
        <v>98</v>
      </c>
      <c r="F14" s="25" t="s">
        <v>19</v>
      </c>
    </row>
    <row r="15" spans="3:6" x14ac:dyDescent="0.25">
      <c r="C15" s="20" t="s">
        <v>62</v>
      </c>
      <c r="D15" s="20" t="s">
        <v>117</v>
      </c>
      <c r="E15" s="22" t="s">
        <v>98</v>
      </c>
      <c r="F15" s="25" t="s">
        <v>19</v>
      </c>
    </row>
    <row r="16" spans="3:6" x14ac:dyDescent="0.25">
      <c r="C16" s="20" t="s">
        <v>121</v>
      </c>
      <c r="D16" s="20" t="s">
        <v>123</v>
      </c>
      <c r="E16" s="22" t="s">
        <v>16</v>
      </c>
      <c r="F16" s="25" t="s">
        <v>19</v>
      </c>
    </row>
    <row r="17" spans="3:6" x14ac:dyDescent="0.25">
      <c r="C17" s="20" t="s">
        <v>121</v>
      </c>
      <c r="D17" s="20" t="s">
        <v>126</v>
      </c>
      <c r="E17" s="22" t="s">
        <v>16</v>
      </c>
      <c r="F17" s="25" t="s">
        <v>19</v>
      </c>
    </row>
    <row r="18" spans="3:6" x14ac:dyDescent="0.25">
      <c r="C18" s="20" t="s">
        <v>121</v>
      </c>
      <c r="D18" s="20" t="s">
        <v>131</v>
      </c>
      <c r="E18" s="22" t="s">
        <v>16</v>
      </c>
      <c r="F18" s="25" t="s">
        <v>19</v>
      </c>
    </row>
    <row r="19" spans="3:6" x14ac:dyDescent="0.25">
      <c r="C19" s="20" t="s">
        <v>121</v>
      </c>
      <c r="D19" s="20" t="s">
        <v>136</v>
      </c>
      <c r="E19" s="22" t="s">
        <v>16</v>
      </c>
      <c r="F19" s="25" t="s">
        <v>19</v>
      </c>
    </row>
    <row r="20" spans="3:6" x14ac:dyDescent="0.25">
      <c r="C20" s="20" t="s">
        <v>121</v>
      </c>
      <c r="D20" s="20" t="s">
        <v>141</v>
      </c>
      <c r="E20" s="22" t="s">
        <v>16</v>
      </c>
      <c r="F20" s="25" t="s">
        <v>19</v>
      </c>
    </row>
    <row r="21" spans="3:6" x14ac:dyDescent="0.25">
      <c r="C21" s="20" t="s">
        <v>146</v>
      </c>
      <c r="D21" s="20" t="s">
        <v>147</v>
      </c>
      <c r="E21" s="22" t="s">
        <v>719</v>
      </c>
      <c r="F21" s="25" t="s">
        <v>151</v>
      </c>
    </row>
    <row r="22" spans="3:6" x14ac:dyDescent="0.25">
      <c r="C22" s="20" t="s">
        <v>146</v>
      </c>
      <c r="D22" s="20" t="s">
        <v>155</v>
      </c>
      <c r="E22" s="22" t="s">
        <v>719</v>
      </c>
      <c r="F22" s="25" t="s">
        <v>151</v>
      </c>
    </row>
    <row r="23" spans="3:6" x14ac:dyDescent="0.25">
      <c r="C23" s="23" t="s">
        <v>146</v>
      </c>
      <c r="D23" s="23" t="s">
        <v>158</v>
      </c>
      <c r="E23" s="23" t="s">
        <v>719</v>
      </c>
      <c r="F23" s="30" t="s">
        <v>151</v>
      </c>
    </row>
    <row r="24" spans="3:6" x14ac:dyDescent="0.25">
      <c r="C24" s="20" t="s">
        <v>146</v>
      </c>
      <c r="D24" s="20" t="s">
        <v>161</v>
      </c>
      <c r="E24" s="22" t="s">
        <v>719</v>
      </c>
      <c r="F24" s="25" t="s">
        <v>151</v>
      </c>
    </row>
    <row r="25" spans="3:6" x14ac:dyDescent="0.25">
      <c r="C25" s="20" t="s">
        <v>164</v>
      </c>
      <c r="D25" s="20" t="s">
        <v>720</v>
      </c>
      <c r="E25" s="22" t="s">
        <v>168</v>
      </c>
      <c r="F25" s="25" t="s">
        <v>151</v>
      </c>
    </row>
    <row r="26" spans="3:6" x14ac:dyDescent="0.25">
      <c r="C26" s="20" t="s">
        <v>164</v>
      </c>
      <c r="D26" s="20" t="s">
        <v>721</v>
      </c>
      <c r="E26" s="22" t="s">
        <v>168</v>
      </c>
      <c r="F26" s="25" t="s">
        <v>151</v>
      </c>
    </row>
    <row r="27" spans="3:6" x14ac:dyDescent="0.25">
      <c r="C27" s="20" t="s">
        <v>164</v>
      </c>
      <c r="D27" s="20" t="s">
        <v>722</v>
      </c>
      <c r="E27" s="22" t="s">
        <v>168</v>
      </c>
      <c r="F27" s="25" t="s">
        <v>151</v>
      </c>
    </row>
    <row r="28" spans="3:6" x14ac:dyDescent="0.25">
      <c r="C28" s="20" t="s">
        <v>164</v>
      </c>
      <c r="D28" s="20" t="s">
        <v>179</v>
      </c>
      <c r="E28" s="22" t="s">
        <v>168</v>
      </c>
      <c r="F28" s="25" t="s">
        <v>151</v>
      </c>
    </row>
    <row r="29" spans="3:6" x14ac:dyDescent="0.25">
      <c r="C29" s="20" t="s">
        <v>183</v>
      </c>
      <c r="D29" s="20" t="s">
        <v>441</v>
      </c>
      <c r="E29" s="22" t="s">
        <v>148</v>
      </c>
      <c r="F29" s="25" t="s">
        <v>151</v>
      </c>
    </row>
    <row r="30" spans="3:6" x14ac:dyDescent="0.25">
      <c r="C30" s="23" t="s">
        <v>183</v>
      </c>
      <c r="D30" s="23" t="s">
        <v>447</v>
      </c>
      <c r="E30" s="23" t="s">
        <v>148</v>
      </c>
      <c r="F30" s="30" t="s">
        <v>151</v>
      </c>
    </row>
    <row r="31" spans="3:6" x14ac:dyDescent="0.25">
      <c r="C31" s="20" t="s">
        <v>183</v>
      </c>
      <c r="D31" s="20" t="s">
        <v>450</v>
      </c>
      <c r="E31" s="22" t="s">
        <v>148</v>
      </c>
      <c r="F31" s="25" t="s">
        <v>151</v>
      </c>
    </row>
    <row r="32" spans="3:6" x14ac:dyDescent="0.25">
      <c r="C32" s="20" t="s">
        <v>183</v>
      </c>
      <c r="D32" s="20" t="s">
        <v>214</v>
      </c>
      <c r="E32" s="22" t="s">
        <v>148</v>
      </c>
      <c r="F32" s="25" t="s">
        <v>151</v>
      </c>
    </row>
    <row r="33" spans="3:6" x14ac:dyDescent="0.25">
      <c r="C33" s="20" t="s">
        <v>183</v>
      </c>
      <c r="D33" s="20" t="s">
        <v>452</v>
      </c>
      <c r="E33" s="22" t="s">
        <v>148</v>
      </c>
      <c r="F33" s="25" t="s">
        <v>151</v>
      </c>
    </row>
    <row r="34" spans="3:6" x14ac:dyDescent="0.25">
      <c r="C34" s="20" t="s">
        <v>183</v>
      </c>
      <c r="D34" s="20" t="s">
        <v>455</v>
      </c>
      <c r="E34" s="22" t="s">
        <v>148</v>
      </c>
      <c r="F34" s="25" t="s">
        <v>151</v>
      </c>
    </row>
    <row r="35" spans="3:6" x14ac:dyDescent="0.25">
      <c r="C35" s="20" t="s">
        <v>216</v>
      </c>
      <c r="D35" s="20" t="s">
        <v>723</v>
      </c>
      <c r="E35" s="22" t="s">
        <v>238</v>
      </c>
      <c r="F35" s="25" t="s">
        <v>151</v>
      </c>
    </row>
    <row r="36" spans="3:6" x14ac:dyDescent="0.25">
      <c r="C36" s="20" t="s">
        <v>216</v>
      </c>
      <c r="D36" s="20" t="s">
        <v>724</v>
      </c>
      <c r="E36" s="22" t="s">
        <v>238</v>
      </c>
      <c r="F36" s="25" t="s">
        <v>151</v>
      </c>
    </row>
    <row r="37" spans="3:6" x14ac:dyDescent="0.25">
      <c r="C37" s="20" t="s">
        <v>216</v>
      </c>
      <c r="D37" s="20" t="s">
        <v>725</v>
      </c>
      <c r="E37" s="22" t="s">
        <v>238</v>
      </c>
      <c r="F37" s="25" t="s">
        <v>151</v>
      </c>
    </row>
    <row r="38" spans="3:6" x14ac:dyDescent="0.25">
      <c r="C38" s="20" t="s">
        <v>216</v>
      </c>
      <c r="D38" s="20" t="s">
        <v>726</v>
      </c>
      <c r="E38" s="22" t="s">
        <v>238</v>
      </c>
      <c r="F38" s="25" t="s">
        <v>151</v>
      </c>
    </row>
    <row r="39" spans="3:6" x14ac:dyDescent="0.25">
      <c r="C39" s="20" t="s">
        <v>216</v>
      </c>
      <c r="D39" s="20" t="s">
        <v>244</v>
      </c>
      <c r="E39" s="22" t="s">
        <v>238</v>
      </c>
      <c r="F39" s="25" t="s">
        <v>151</v>
      </c>
    </row>
    <row r="40" spans="3:6" x14ac:dyDescent="0.25">
      <c r="C40" s="20" t="s">
        <v>216</v>
      </c>
      <c r="D40" s="20" t="s">
        <v>249</v>
      </c>
      <c r="E40" s="22" t="s">
        <v>719</v>
      </c>
      <c r="F40" s="25" t="s">
        <v>151</v>
      </c>
    </row>
    <row r="41" spans="3:6" x14ac:dyDescent="0.25">
      <c r="C41" s="20" t="s">
        <v>216</v>
      </c>
      <c r="D41" s="20" t="s">
        <v>255</v>
      </c>
      <c r="E41" s="22" t="s">
        <v>168</v>
      </c>
      <c r="F41" s="25" t="s">
        <v>151</v>
      </c>
    </row>
  </sheetData>
  <autoFilter ref="C2:F41" xr:uid="{EAD70E08-A06A-4A37-ACDE-C3F1FB7BD769}">
    <sortState xmlns:xlrd2="http://schemas.microsoft.com/office/spreadsheetml/2017/richdata2" ref="C3:F41">
      <sortCondition ref="C2:C41"/>
    </sortState>
  </autoFilter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4505-EB63-4FAB-907C-B9C54EED3734}">
  <sheetPr codeName="Sheet14"/>
  <dimension ref="A1"/>
  <sheetViews>
    <sheetView workbookViewId="0">
      <selection activeCell="AE30" sqref="AE3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3106-72BF-4648-8116-F16106187A70}">
  <sheetPr codeName="Sheet1"/>
  <dimension ref="C1:J121"/>
  <sheetViews>
    <sheetView workbookViewId="0">
      <selection activeCell="S19" sqref="S19"/>
    </sheetView>
  </sheetViews>
  <sheetFormatPr defaultRowHeight="15" x14ac:dyDescent="0.25"/>
  <cols>
    <col min="4" max="4" width="55" bestFit="1" customWidth="1"/>
  </cols>
  <sheetData>
    <row r="1" spans="3:10" ht="15.75" thickBot="1" x14ac:dyDescent="0.3">
      <c r="C1" s="4"/>
      <c r="G1" s="3"/>
      <c r="H1" s="4">
        <v>4.51</v>
      </c>
      <c r="I1" s="4">
        <v>4.51</v>
      </c>
      <c r="J1" s="8"/>
    </row>
    <row r="2" spans="3:10" ht="15.75" thickBot="1" x14ac:dyDescent="0.3">
      <c r="C2" s="12"/>
      <c r="D2" s="16" t="s">
        <v>727</v>
      </c>
      <c r="G2" s="3"/>
      <c r="H2" s="4"/>
      <c r="I2" s="4"/>
      <c r="J2" s="8"/>
    </row>
    <row r="3" spans="3:10" ht="15.75" thickBot="1" x14ac:dyDescent="0.3">
      <c r="C3" s="13">
        <v>4510000</v>
      </c>
      <c r="D3" s="5" t="s">
        <v>595</v>
      </c>
      <c r="G3" s="6"/>
      <c r="H3" s="3"/>
      <c r="I3" s="5">
        <v>4510000</v>
      </c>
      <c r="J3" s="5" t="s">
        <v>595</v>
      </c>
    </row>
    <row r="4" spans="3:10" ht="15.75" thickBot="1" x14ac:dyDescent="0.3">
      <c r="C4" s="13">
        <v>4510001</v>
      </c>
      <c r="D4" s="5" t="s">
        <v>598</v>
      </c>
      <c r="G4" s="6"/>
      <c r="H4" s="3"/>
      <c r="I4" s="5">
        <v>4510001</v>
      </c>
      <c r="J4" s="5" t="s">
        <v>598</v>
      </c>
    </row>
    <row r="5" spans="3:10" ht="15.75" thickBot="1" x14ac:dyDescent="0.3">
      <c r="C5" s="13">
        <v>4510100</v>
      </c>
      <c r="D5" s="5" t="s">
        <v>599</v>
      </c>
      <c r="G5" s="6"/>
      <c r="H5" s="3"/>
      <c r="I5" s="5">
        <v>4510100</v>
      </c>
      <c r="J5" s="5" t="s">
        <v>599</v>
      </c>
    </row>
    <row r="6" spans="3:10" ht="15.75" thickBot="1" x14ac:dyDescent="0.3">
      <c r="C6" s="13">
        <v>4510110</v>
      </c>
      <c r="D6" s="5" t="s">
        <v>356</v>
      </c>
      <c r="G6" s="6"/>
      <c r="H6" s="3"/>
      <c r="I6" s="5">
        <v>4510110</v>
      </c>
      <c r="J6" s="5" t="s">
        <v>356</v>
      </c>
    </row>
    <row r="7" spans="3:10" ht="15.75" thickBot="1" x14ac:dyDescent="0.3">
      <c r="C7" s="13">
        <v>4510120</v>
      </c>
      <c r="D7" s="5" t="s">
        <v>600</v>
      </c>
      <c r="G7" s="6"/>
      <c r="H7" s="3"/>
      <c r="I7" s="5">
        <v>4510120</v>
      </c>
      <c r="J7" s="5" t="s">
        <v>600</v>
      </c>
    </row>
    <row r="8" spans="3:10" ht="15.75" thickBot="1" x14ac:dyDescent="0.3">
      <c r="C8" s="13">
        <v>4510121</v>
      </c>
      <c r="D8" s="5" t="s">
        <v>728</v>
      </c>
      <c r="G8" s="6"/>
      <c r="H8" s="3"/>
      <c r="I8" s="5">
        <v>4510121</v>
      </c>
      <c r="J8" s="5" t="s">
        <v>728</v>
      </c>
    </row>
    <row r="9" spans="3:10" ht="15.75" thickBot="1" x14ac:dyDescent="0.3">
      <c r="C9" s="13">
        <v>4510122</v>
      </c>
      <c r="D9" s="5" t="s">
        <v>602</v>
      </c>
      <c r="G9" s="6"/>
      <c r="H9" s="3"/>
      <c r="I9" s="5">
        <v>4510122</v>
      </c>
      <c r="J9" s="5" t="s">
        <v>602</v>
      </c>
    </row>
    <row r="10" spans="3:10" ht="15.75" thickBot="1" x14ac:dyDescent="0.3">
      <c r="C10" s="13">
        <v>4510123</v>
      </c>
      <c r="D10" s="5" t="s">
        <v>603</v>
      </c>
      <c r="G10" s="6"/>
      <c r="H10" s="3"/>
      <c r="I10" s="5">
        <v>4510123</v>
      </c>
      <c r="J10" s="5" t="s">
        <v>603</v>
      </c>
    </row>
    <row r="11" spans="3:10" ht="15.75" thickBot="1" x14ac:dyDescent="0.3">
      <c r="C11" s="13">
        <v>4510124</v>
      </c>
      <c r="D11" s="5" t="s">
        <v>604</v>
      </c>
      <c r="G11" s="6"/>
      <c r="H11" s="3"/>
      <c r="I11" s="5">
        <v>4510124</v>
      </c>
      <c r="J11" s="5" t="s">
        <v>604</v>
      </c>
    </row>
    <row r="12" spans="3:10" ht="15.75" thickBot="1" x14ac:dyDescent="0.3">
      <c r="C12" s="13">
        <v>4510125</v>
      </c>
      <c r="D12" s="5" t="s">
        <v>605</v>
      </c>
      <c r="G12" s="6"/>
      <c r="H12" s="3"/>
      <c r="I12" s="5">
        <v>4510125</v>
      </c>
      <c r="J12" s="5" t="s">
        <v>605</v>
      </c>
    </row>
    <row r="13" spans="3:10" ht="15.75" thickBot="1" x14ac:dyDescent="0.3">
      <c r="C13" s="13">
        <v>4510126</v>
      </c>
      <c r="D13" s="5" t="s">
        <v>606</v>
      </c>
      <c r="G13" s="3"/>
      <c r="I13" s="5">
        <v>4510126</v>
      </c>
      <c r="J13" s="5" t="s">
        <v>606</v>
      </c>
    </row>
    <row r="14" spans="3:10" ht="15.75" thickBot="1" x14ac:dyDescent="0.3">
      <c r="C14" s="13">
        <v>4510127</v>
      </c>
      <c r="D14" s="5" t="s">
        <v>607</v>
      </c>
      <c r="G14" s="6"/>
      <c r="H14" s="3"/>
      <c r="I14" s="5">
        <v>4510127</v>
      </c>
      <c r="J14" s="5" t="s">
        <v>607</v>
      </c>
    </row>
    <row r="15" spans="3:10" ht="15.75" thickBot="1" x14ac:dyDescent="0.3">
      <c r="C15" s="13">
        <v>4510130</v>
      </c>
      <c r="D15" s="5" t="s">
        <v>608</v>
      </c>
      <c r="G15" s="6"/>
      <c r="H15" s="3"/>
      <c r="I15" s="5">
        <v>4510130</v>
      </c>
      <c r="J15" s="5" t="s">
        <v>608</v>
      </c>
    </row>
    <row r="16" spans="3:10" ht="15.75" thickBot="1" x14ac:dyDescent="0.3">
      <c r="C16" s="13">
        <v>4510140</v>
      </c>
      <c r="D16" s="5" t="s">
        <v>366</v>
      </c>
      <c r="G16" s="6"/>
      <c r="H16" s="3"/>
      <c r="I16" s="5">
        <v>4510140</v>
      </c>
      <c r="J16" s="5" t="s">
        <v>366</v>
      </c>
    </row>
    <row r="17" spans="3:10" ht="15.75" thickBot="1" x14ac:dyDescent="0.3">
      <c r="C17" s="13">
        <v>4510150</v>
      </c>
      <c r="D17" s="5" t="s">
        <v>372</v>
      </c>
      <c r="G17" s="6"/>
      <c r="H17" s="3"/>
      <c r="I17" s="5">
        <v>4510150</v>
      </c>
      <c r="J17" s="5" t="s">
        <v>372</v>
      </c>
    </row>
    <row r="18" spans="3:10" ht="15.75" thickBot="1" x14ac:dyDescent="0.3">
      <c r="C18" s="13">
        <v>4510155</v>
      </c>
      <c r="D18" s="5" t="s">
        <v>379</v>
      </c>
      <c r="G18" s="6"/>
      <c r="H18" s="3"/>
      <c r="I18" s="5">
        <v>4510155</v>
      </c>
      <c r="J18" s="5" t="s">
        <v>379</v>
      </c>
    </row>
    <row r="19" spans="3:10" ht="15.75" thickBot="1" x14ac:dyDescent="0.3">
      <c r="C19" s="13">
        <v>4510160</v>
      </c>
      <c r="D19" s="5" t="s">
        <v>382</v>
      </c>
      <c r="G19" s="6"/>
      <c r="H19" s="3"/>
      <c r="I19" s="5">
        <v>4510160</v>
      </c>
      <c r="J19" s="5" t="s">
        <v>382</v>
      </c>
    </row>
    <row r="20" spans="3:10" ht="15.75" thickBot="1" x14ac:dyDescent="0.3">
      <c r="C20" s="13">
        <v>4510170</v>
      </c>
      <c r="D20" s="5" t="s">
        <v>621</v>
      </c>
      <c r="G20" s="6"/>
      <c r="H20" s="3"/>
      <c r="I20" s="5">
        <v>4510170</v>
      </c>
      <c r="J20" s="5" t="s">
        <v>621</v>
      </c>
    </row>
    <row r="21" spans="3:10" ht="15.75" thickBot="1" x14ac:dyDescent="0.3">
      <c r="C21" s="13">
        <v>4510175</v>
      </c>
      <c r="D21" s="5" t="s">
        <v>610</v>
      </c>
      <c r="G21" s="6"/>
      <c r="H21" s="3"/>
      <c r="I21" s="5">
        <v>4510175</v>
      </c>
      <c r="J21" s="5" t="s">
        <v>610</v>
      </c>
    </row>
    <row r="22" spans="3:10" ht="15.75" thickBot="1" x14ac:dyDescent="0.3">
      <c r="C22" s="13">
        <v>4510180</v>
      </c>
      <c r="D22" s="5" t="s">
        <v>611</v>
      </c>
      <c r="G22" s="9"/>
      <c r="H22" s="10"/>
      <c r="I22" s="11">
        <v>4510180</v>
      </c>
      <c r="J22" s="11" t="s">
        <v>611</v>
      </c>
    </row>
    <row r="23" spans="3:10" ht="15.75" thickBot="1" x14ac:dyDescent="0.3">
      <c r="C23" s="13">
        <v>4510181</v>
      </c>
      <c r="D23" s="5" t="s">
        <v>612</v>
      </c>
      <c r="G23" s="3"/>
      <c r="I23" s="5">
        <v>4510181</v>
      </c>
      <c r="J23" s="5" t="s">
        <v>612</v>
      </c>
    </row>
    <row r="24" spans="3:10" ht="15.75" thickBot="1" x14ac:dyDescent="0.3">
      <c r="C24" s="13">
        <v>4510182</v>
      </c>
      <c r="D24" s="5" t="s">
        <v>613</v>
      </c>
      <c r="G24" s="6"/>
      <c r="H24" s="3"/>
      <c r="I24" s="5">
        <v>4510182</v>
      </c>
      <c r="J24" s="5" t="s">
        <v>613</v>
      </c>
    </row>
    <row r="25" spans="3:10" ht="15.75" thickBot="1" x14ac:dyDescent="0.3">
      <c r="C25" s="13">
        <v>4510183</v>
      </c>
      <c r="D25" s="5" t="s">
        <v>614</v>
      </c>
      <c r="G25" s="6"/>
      <c r="H25" s="3"/>
      <c r="I25" s="5">
        <v>4510183</v>
      </c>
      <c r="J25" s="5" t="s">
        <v>614</v>
      </c>
    </row>
    <row r="26" spans="3:10" ht="15.75" thickBot="1" x14ac:dyDescent="0.3">
      <c r="C26" s="13">
        <v>4510184</v>
      </c>
      <c r="D26" s="5" t="s">
        <v>615</v>
      </c>
      <c r="G26" s="6"/>
      <c r="H26" s="3"/>
      <c r="I26" s="5">
        <v>4510184</v>
      </c>
      <c r="J26" s="5" t="s">
        <v>615</v>
      </c>
    </row>
    <row r="27" spans="3:10" ht="15.75" thickBot="1" x14ac:dyDescent="0.3">
      <c r="C27" s="13">
        <v>4510185</v>
      </c>
      <c r="D27" s="5" t="s">
        <v>616</v>
      </c>
      <c r="G27" s="6"/>
      <c r="H27" s="3"/>
      <c r="I27" s="5">
        <v>4510185</v>
      </c>
      <c r="J27" s="5" t="s">
        <v>616</v>
      </c>
    </row>
    <row r="28" spans="3:10" ht="15.75" thickBot="1" x14ac:dyDescent="0.3">
      <c r="C28" s="13">
        <v>4510186</v>
      </c>
      <c r="D28" s="5" t="s">
        <v>617</v>
      </c>
      <c r="G28" s="6"/>
      <c r="H28" s="3"/>
      <c r="I28" s="5">
        <v>4510186</v>
      </c>
      <c r="J28" s="5" t="s">
        <v>617</v>
      </c>
    </row>
    <row r="29" spans="3:10" ht="15.75" thickBot="1" x14ac:dyDescent="0.3">
      <c r="C29" s="13">
        <v>4510190</v>
      </c>
      <c r="D29" s="5" t="s">
        <v>618</v>
      </c>
      <c r="G29" s="6"/>
      <c r="H29" s="3"/>
      <c r="I29" s="5">
        <v>4510190</v>
      </c>
      <c r="J29" s="5" t="s">
        <v>618</v>
      </c>
    </row>
    <row r="30" spans="3:10" ht="15.75" thickBot="1" x14ac:dyDescent="0.3">
      <c r="C30" s="13">
        <v>4510195</v>
      </c>
      <c r="D30" s="5" t="s">
        <v>18</v>
      </c>
      <c r="G30" s="6"/>
      <c r="H30" s="3"/>
      <c r="I30" s="5">
        <v>4510195</v>
      </c>
      <c r="J30" s="5" t="s">
        <v>18</v>
      </c>
    </row>
    <row r="31" spans="3:10" ht="15.75" thickBot="1" x14ac:dyDescent="0.3">
      <c r="C31" s="14">
        <v>4510200</v>
      </c>
      <c r="D31" s="15" t="s">
        <v>619</v>
      </c>
      <c r="G31" s="9"/>
      <c r="H31" s="10"/>
      <c r="I31" s="11">
        <v>4510200</v>
      </c>
      <c r="J31" s="11" t="s">
        <v>619</v>
      </c>
    </row>
    <row r="32" spans="3:10" ht="15.75" thickBot="1" x14ac:dyDescent="0.3">
      <c r="C32" s="2"/>
      <c r="D32" s="7"/>
      <c r="G32" s="3"/>
      <c r="H32" s="5"/>
      <c r="I32" s="5">
        <v>4510201</v>
      </c>
      <c r="J32" s="5" t="s">
        <v>441</v>
      </c>
    </row>
    <row r="33" spans="9:10" ht="15.75" thickBot="1" x14ac:dyDescent="0.3">
      <c r="I33" s="5">
        <v>4510210</v>
      </c>
      <c r="J33" s="5" t="s">
        <v>447</v>
      </c>
    </row>
    <row r="34" spans="9:10" ht="15.75" thickBot="1" x14ac:dyDescent="0.3">
      <c r="I34" s="5">
        <v>4510220</v>
      </c>
      <c r="J34" s="5" t="s">
        <v>450</v>
      </c>
    </row>
    <row r="35" spans="9:10" ht="15.75" thickBot="1" x14ac:dyDescent="0.3">
      <c r="I35" s="5">
        <v>4510230</v>
      </c>
      <c r="J35" s="5" t="s">
        <v>214</v>
      </c>
    </row>
    <row r="36" spans="9:10" ht="15.75" thickBot="1" x14ac:dyDescent="0.3">
      <c r="I36" s="5">
        <v>4510240</v>
      </c>
      <c r="J36" s="5" t="s">
        <v>452</v>
      </c>
    </row>
    <row r="37" spans="9:10" ht="15.75" thickBot="1" x14ac:dyDescent="0.3">
      <c r="I37" s="5">
        <v>4510250</v>
      </c>
      <c r="J37" s="5" t="s">
        <v>455</v>
      </c>
    </row>
    <row r="38" spans="9:10" ht="15.75" thickBot="1" x14ac:dyDescent="0.3">
      <c r="I38" s="5">
        <v>4510260</v>
      </c>
      <c r="J38" s="5" t="s">
        <v>729</v>
      </c>
    </row>
    <row r="39" spans="9:10" ht="15.75" thickBot="1" x14ac:dyDescent="0.3">
      <c r="I39" s="5">
        <v>4510270</v>
      </c>
      <c r="J39" s="5" t="s">
        <v>621</v>
      </c>
    </row>
    <row r="40" spans="9:10" ht="15.75" thickBot="1" x14ac:dyDescent="0.3">
      <c r="I40" s="5">
        <v>4510310</v>
      </c>
      <c r="J40" s="5" t="s">
        <v>622</v>
      </c>
    </row>
    <row r="41" spans="9:10" ht="15.75" thickBot="1" x14ac:dyDescent="0.3">
      <c r="I41" s="11">
        <v>4510410</v>
      </c>
      <c r="J41" s="11" t="s">
        <v>633</v>
      </c>
    </row>
    <row r="42" spans="9:10" ht="15.75" thickBot="1" x14ac:dyDescent="0.3">
      <c r="I42" s="5">
        <v>4511000</v>
      </c>
      <c r="J42" s="5" t="s">
        <v>634</v>
      </c>
    </row>
    <row r="43" spans="9:10" ht="15.75" thickBot="1" x14ac:dyDescent="0.3">
      <c r="I43" s="5">
        <v>4511010</v>
      </c>
      <c r="J43" s="5" t="s">
        <v>81</v>
      </c>
    </row>
    <row r="44" spans="9:10" ht="15.75" thickBot="1" x14ac:dyDescent="0.3">
      <c r="I44" s="5">
        <v>4511100</v>
      </c>
      <c r="J44" s="5" t="s">
        <v>636</v>
      </c>
    </row>
    <row r="45" spans="9:10" ht="15.75" thickBot="1" x14ac:dyDescent="0.3">
      <c r="I45" s="5">
        <v>4511150</v>
      </c>
      <c r="J45" s="5" t="s">
        <v>92</v>
      </c>
    </row>
    <row r="46" spans="9:10" ht="15.75" thickBot="1" x14ac:dyDescent="0.3">
      <c r="I46" s="5">
        <v>4511200</v>
      </c>
      <c r="J46" s="5" t="s">
        <v>637</v>
      </c>
    </row>
    <row r="47" spans="9:10" ht="15.75" thickBot="1" x14ac:dyDescent="0.3">
      <c r="I47" s="5">
        <v>4511250</v>
      </c>
      <c r="J47" s="5" t="s">
        <v>100</v>
      </c>
    </row>
    <row r="48" spans="9:10" ht="15.75" thickBot="1" x14ac:dyDescent="0.3">
      <c r="I48" s="5">
        <v>4511300</v>
      </c>
      <c r="J48" s="5" t="s">
        <v>66</v>
      </c>
    </row>
    <row r="49" spans="9:10" ht="15.75" thickBot="1" x14ac:dyDescent="0.3">
      <c r="I49" s="5">
        <v>4511400</v>
      </c>
      <c r="J49" s="5" t="s">
        <v>638</v>
      </c>
    </row>
    <row r="50" spans="9:10" ht="15.75" thickBot="1" x14ac:dyDescent="0.3">
      <c r="I50" s="5">
        <v>4511500</v>
      </c>
      <c r="J50" s="5" t="s">
        <v>639</v>
      </c>
    </row>
    <row r="51" spans="9:10" ht="15.75" thickBot="1" x14ac:dyDescent="0.3">
      <c r="I51" s="11">
        <v>4511550</v>
      </c>
      <c r="J51" s="11" t="s">
        <v>105</v>
      </c>
    </row>
    <row r="52" spans="9:10" ht="15.75" thickBot="1" x14ac:dyDescent="0.3">
      <c r="I52" s="5">
        <v>4511600</v>
      </c>
      <c r="J52" s="5" t="s">
        <v>71</v>
      </c>
    </row>
    <row r="53" spans="9:10" ht="15.75" thickBot="1" x14ac:dyDescent="0.3">
      <c r="I53" s="5">
        <v>4511700</v>
      </c>
      <c r="J53" s="5" t="s">
        <v>110</v>
      </c>
    </row>
    <row r="54" spans="9:10" ht="15.75" thickBot="1" x14ac:dyDescent="0.3">
      <c r="I54" s="5">
        <v>4511750</v>
      </c>
      <c r="J54" s="5" t="s">
        <v>346</v>
      </c>
    </row>
    <row r="55" spans="9:10" ht="15.75" thickBot="1" x14ac:dyDescent="0.3">
      <c r="I55" s="5">
        <v>4511800</v>
      </c>
      <c r="J55" s="5" t="s">
        <v>351</v>
      </c>
    </row>
    <row r="56" spans="9:10" ht="15.75" thickBot="1" x14ac:dyDescent="0.3">
      <c r="I56" s="5">
        <v>4511900</v>
      </c>
      <c r="J56" s="5" t="s">
        <v>640</v>
      </c>
    </row>
    <row r="57" spans="9:10" ht="15.75" thickBot="1" x14ac:dyDescent="0.3">
      <c r="I57" s="5">
        <v>4511950</v>
      </c>
      <c r="J57" s="5" t="s">
        <v>641</v>
      </c>
    </row>
    <row r="58" spans="9:10" ht="15.75" thickBot="1" x14ac:dyDescent="0.3">
      <c r="I58" s="5">
        <v>4512000</v>
      </c>
      <c r="J58" s="5" t="s">
        <v>642</v>
      </c>
    </row>
    <row r="59" spans="9:10" ht="15.75" thickBot="1" x14ac:dyDescent="0.3">
      <c r="I59" s="5">
        <v>4512010</v>
      </c>
      <c r="J59" s="5" t="s">
        <v>387</v>
      </c>
    </row>
    <row r="60" spans="9:10" ht="15.75" thickBot="1" x14ac:dyDescent="0.3">
      <c r="I60" s="11">
        <v>4512100</v>
      </c>
      <c r="J60" s="11" t="s">
        <v>394</v>
      </c>
    </row>
    <row r="61" spans="9:10" ht="15.75" thickBot="1" x14ac:dyDescent="0.3">
      <c r="I61" s="5">
        <v>4512200</v>
      </c>
      <c r="J61" s="5" t="s">
        <v>399</v>
      </c>
    </row>
    <row r="62" spans="9:10" ht="15.75" thickBot="1" x14ac:dyDescent="0.3">
      <c r="I62" s="5">
        <v>4512300</v>
      </c>
      <c r="J62" s="5" t="s">
        <v>405</v>
      </c>
    </row>
    <row r="63" spans="9:10" ht="15.75" thickBot="1" x14ac:dyDescent="0.3">
      <c r="I63" s="5">
        <v>4512400</v>
      </c>
      <c r="J63" s="5" t="s">
        <v>643</v>
      </c>
    </row>
    <row r="64" spans="9:10" ht="15.75" thickBot="1" x14ac:dyDescent="0.3">
      <c r="I64" s="5">
        <v>4513000</v>
      </c>
      <c r="J64" s="5" t="s">
        <v>644</v>
      </c>
    </row>
    <row r="65" spans="9:10" ht="15.75" thickBot="1" x14ac:dyDescent="0.3">
      <c r="I65" s="5">
        <v>4513010</v>
      </c>
      <c r="J65" s="5" t="s">
        <v>645</v>
      </c>
    </row>
    <row r="66" spans="9:10" ht="15.75" thickBot="1" x14ac:dyDescent="0.3">
      <c r="I66" s="5">
        <v>4513100</v>
      </c>
      <c r="J66" s="5" t="s">
        <v>646</v>
      </c>
    </row>
    <row r="67" spans="9:10" ht="15.75" thickBot="1" x14ac:dyDescent="0.3">
      <c r="I67" s="5">
        <v>4513110</v>
      </c>
      <c r="J67" s="5" t="s">
        <v>170</v>
      </c>
    </row>
    <row r="68" spans="9:10" ht="15.75" thickBot="1" x14ac:dyDescent="0.3">
      <c r="I68" s="5">
        <v>4513120</v>
      </c>
      <c r="J68" s="5" t="s">
        <v>434</v>
      </c>
    </row>
    <row r="69" spans="9:10" ht="15.75" thickBot="1" x14ac:dyDescent="0.3">
      <c r="I69" s="5">
        <v>4513130</v>
      </c>
      <c r="J69" s="5" t="s">
        <v>177</v>
      </c>
    </row>
    <row r="70" spans="9:10" ht="15.75" thickBot="1" x14ac:dyDescent="0.3">
      <c r="I70" s="5">
        <v>4513140</v>
      </c>
      <c r="J70" s="5" t="s">
        <v>438</v>
      </c>
    </row>
    <row r="71" spans="9:10" ht="15.75" thickBot="1" x14ac:dyDescent="0.3">
      <c r="I71" s="11">
        <v>4513200</v>
      </c>
      <c r="J71" s="11" t="s">
        <v>647</v>
      </c>
    </row>
    <row r="72" spans="9:10" ht="15.75" thickBot="1" x14ac:dyDescent="0.3">
      <c r="I72" s="5">
        <v>4513300</v>
      </c>
      <c r="J72" s="5" t="s">
        <v>648</v>
      </c>
    </row>
    <row r="73" spans="9:10" ht="15.75" thickBot="1" x14ac:dyDescent="0.3">
      <c r="I73" s="5">
        <v>4513400</v>
      </c>
      <c r="J73" s="5" t="s">
        <v>649</v>
      </c>
    </row>
    <row r="74" spans="9:10" ht="15.75" thickBot="1" x14ac:dyDescent="0.3">
      <c r="I74" s="5">
        <v>4513500</v>
      </c>
      <c r="J74" s="5" t="s">
        <v>650</v>
      </c>
    </row>
    <row r="75" spans="9:10" ht="15.75" thickBot="1" x14ac:dyDescent="0.3">
      <c r="I75" s="5">
        <v>4513600</v>
      </c>
      <c r="J75" s="5" t="s">
        <v>651</v>
      </c>
    </row>
    <row r="76" spans="9:10" ht="15.75" thickBot="1" x14ac:dyDescent="0.3">
      <c r="I76" s="5">
        <v>4513700</v>
      </c>
      <c r="J76" s="5" t="s">
        <v>652</v>
      </c>
    </row>
    <row r="77" spans="9:10" ht="15.75" thickBot="1" x14ac:dyDescent="0.3">
      <c r="I77" s="5">
        <v>4513800</v>
      </c>
      <c r="J77" s="5" t="s">
        <v>653</v>
      </c>
    </row>
    <row r="78" spans="9:10" ht="15.75" thickBot="1" x14ac:dyDescent="0.3">
      <c r="I78" s="5">
        <v>4515000</v>
      </c>
      <c r="J78" s="5" t="s">
        <v>571</v>
      </c>
    </row>
    <row r="79" spans="9:10" ht="15.75" thickBot="1" x14ac:dyDescent="0.3">
      <c r="I79" s="5">
        <v>4515010</v>
      </c>
      <c r="J79" s="5" t="s">
        <v>485</v>
      </c>
    </row>
    <row r="80" spans="9:10" ht="15.75" thickBot="1" x14ac:dyDescent="0.3">
      <c r="I80" s="5">
        <v>4515100</v>
      </c>
      <c r="J80" s="5" t="s">
        <v>730</v>
      </c>
    </row>
    <row r="81" spans="9:10" ht="15.75" thickBot="1" x14ac:dyDescent="0.3">
      <c r="I81" s="11">
        <v>4515200</v>
      </c>
      <c r="J81" s="11" t="s">
        <v>662</v>
      </c>
    </row>
    <row r="82" spans="9:10" ht="15.75" thickBot="1" x14ac:dyDescent="0.3">
      <c r="I82" s="5">
        <v>4515300</v>
      </c>
      <c r="J82" s="5" t="s">
        <v>731</v>
      </c>
    </row>
    <row r="83" spans="9:10" ht="15.75" thickBot="1" x14ac:dyDescent="0.3">
      <c r="I83" s="5">
        <v>4515400</v>
      </c>
      <c r="J83" s="5" t="s">
        <v>233</v>
      </c>
    </row>
    <row r="84" spans="9:10" ht="15.75" thickBot="1" x14ac:dyDescent="0.3">
      <c r="I84" s="5">
        <v>4515500</v>
      </c>
      <c r="J84" s="5" t="s">
        <v>240</v>
      </c>
    </row>
    <row r="85" spans="9:10" ht="15.75" thickBot="1" x14ac:dyDescent="0.3">
      <c r="I85" s="5">
        <v>4515600</v>
      </c>
      <c r="J85" s="5" t="s">
        <v>663</v>
      </c>
    </row>
    <row r="86" spans="9:10" ht="15.75" thickBot="1" x14ac:dyDescent="0.3">
      <c r="I86" s="5">
        <v>4515700</v>
      </c>
      <c r="J86" s="5" t="s">
        <v>245</v>
      </c>
    </row>
    <row r="87" spans="9:10" ht="15.75" thickBot="1" x14ac:dyDescent="0.3">
      <c r="I87" s="5">
        <v>4515800</v>
      </c>
      <c r="J87" s="5" t="s">
        <v>492</v>
      </c>
    </row>
    <row r="88" spans="9:10" ht="15.75" thickBot="1" x14ac:dyDescent="0.3">
      <c r="I88" s="5">
        <v>4516000</v>
      </c>
      <c r="J88" s="5" t="s">
        <v>664</v>
      </c>
    </row>
    <row r="89" spans="9:10" ht="15.75" thickBot="1" x14ac:dyDescent="0.3">
      <c r="I89" s="5">
        <v>4516010</v>
      </c>
      <c r="J89" s="5" t="s">
        <v>665</v>
      </c>
    </row>
    <row r="90" spans="9:10" ht="15.75" thickBot="1" x14ac:dyDescent="0.3">
      <c r="I90" s="5">
        <v>4516100</v>
      </c>
      <c r="J90" s="5" t="s">
        <v>316</v>
      </c>
    </row>
    <row r="91" spans="9:10" ht="15.75" thickBot="1" x14ac:dyDescent="0.3">
      <c r="I91" s="11">
        <v>4516150</v>
      </c>
      <c r="J91" s="11" t="s">
        <v>666</v>
      </c>
    </row>
    <row r="92" spans="9:10" ht="15.75" thickBot="1" x14ac:dyDescent="0.3">
      <c r="I92" s="5">
        <v>4516200</v>
      </c>
      <c r="J92" s="5" t="s">
        <v>667</v>
      </c>
    </row>
    <row r="93" spans="9:10" ht="15.75" thickBot="1" x14ac:dyDescent="0.3">
      <c r="I93" s="5">
        <v>4516300</v>
      </c>
      <c r="J93" s="5" t="s">
        <v>668</v>
      </c>
    </row>
    <row r="94" spans="9:10" ht="15.75" thickBot="1" x14ac:dyDescent="0.3">
      <c r="I94" s="5">
        <v>4517000</v>
      </c>
      <c r="J94" s="5" t="s">
        <v>669</v>
      </c>
    </row>
    <row r="95" spans="9:10" ht="15.75" thickBot="1" x14ac:dyDescent="0.3">
      <c r="I95" s="5">
        <v>4517010</v>
      </c>
      <c r="J95" s="5" t="s">
        <v>670</v>
      </c>
    </row>
    <row r="96" spans="9:10" ht="15.75" thickBot="1" x14ac:dyDescent="0.3">
      <c r="I96" s="5">
        <v>4517100</v>
      </c>
      <c r="J96" s="5" t="s">
        <v>671</v>
      </c>
    </row>
    <row r="97" spans="9:10" ht="15.75" thickBot="1" x14ac:dyDescent="0.3">
      <c r="I97" s="5">
        <v>4517150</v>
      </c>
      <c r="J97" s="5" t="s">
        <v>672</v>
      </c>
    </row>
    <row r="98" spans="9:10" ht="15.75" thickBot="1" x14ac:dyDescent="0.3">
      <c r="I98" s="5">
        <v>4517200</v>
      </c>
      <c r="J98" s="5" t="s">
        <v>673</v>
      </c>
    </row>
    <row r="99" spans="9:10" ht="15.75" thickBot="1" x14ac:dyDescent="0.3">
      <c r="I99" s="5">
        <v>4517250</v>
      </c>
      <c r="J99" s="5" t="s">
        <v>674</v>
      </c>
    </row>
    <row r="100" spans="9:10" ht="15.75" thickBot="1" x14ac:dyDescent="0.3">
      <c r="I100" s="5">
        <v>4518100</v>
      </c>
      <c r="J100" s="5" t="s">
        <v>732</v>
      </c>
    </row>
    <row r="101" spans="9:10" ht="15.75" thickBot="1" x14ac:dyDescent="0.3">
      <c r="I101" s="11">
        <v>4518101</v>
      </c>
      <c r="J101" s="11" t="s">
        <v>733</v>
      </c>
    </row>
    <row r="102" spans="9:10" ht="15.75" thickBot="1" x14ac:dyDescent="0.3">
      <c r="I102" s="5">
        <v>4518102</v>
      </c>
      <c r="J102" s="5" t="s">
        <v>734</v>
      </c>
    </row>
    <row r="103" spans="9:10" ht="15.75" thickBot="1" x14ac:dyDescent="0.3">
      <c r="I103" s="5">
        <v>4518103</v>
      </c>
      <c r="J103" s="5" t="s">
        <v>735</v>
      </c>
    </row>
    <row r="104" spans="9:10" ht="15.75" thickBot="1" x14ac:dyDescent="0.3">
      <c r="I104" s="5">
        <v>4518104</v>
      </c>
      <c r="J104" s="5" t="s">
        <v>736</v>
      </c>
    </row>
    <row r="105" spans="9:10" ht="15.75" thickBot="1" x14ac:dyDescent="0.3">
      <c r="I105" s="5">
        <v>4518110</v>
      </c>
      <c r="J105" s="5" t="s">
        <v>737</v>
      </c>
    </row>
    <row r="106" spans="9:10" ht="15.75" thickBot="1" x14ac:dyDescent="0.3">
      <c r="I106" s="5">
        <v>4518111</v>
      </c>
      <c r="J106" s="5" t="s">
        <v>738</v>
      </c>
    </row>
    <row r="107" spans="9:10" ht="15.75" thickBot="1" x14ac:dyDescent="0.3">
      <c r="I107" s="5">
        <v>4518112</v>
      </c>
      <c r="J107" s="5" t="s">
        <v>739</v>
      </c>
    </row>
    <row r="108" spans="9:10" ht="15.75" thickBot="1" x14ac:dyDescent="0.3">
      <c r="I108" s="5">
        <v>4518113</v>
      </c>
      <c r="J108" s="5" t="s">
        <v>533</v>
      </c>
    </row>
    <row r="109" spans="9:10" ht="15.75" thickBot="1" x14ac:dyDescent="0.3">
      <c r="I109" s="5">
        <v>4518114</v>
      </c>
      <c r="J109" s="5" t="s">
        <v>740</v>
      </c>
    </row>
    <row r="110" spans="9:10" ht="15.75" thickBot="1" x14ac:dyDescent="0.3">
      <c r="I110" s="5">
        <v>4518115</v>
      </c>
      <c r="J110" s="5" t="s">
        <v>741</v>
      </c>
    </row>
    <row r="111" spans="9:10" ht="15.75" thickBot="1" x14ac:dyDescent="0.3">
      <c r="I111" s="5">
        <v>4518910</v>
      </c>
      <c r="J111" s="5" t="s">
        <v>685</v>
      </c>
    </row>
    <row r="112" spans="9:10" ht="15.75" thickBot="1" x14ac:dyDescent="0.3">
      <c r="I112" s="5">
        <v>4518104</v>
      </c>
      <c r="J112" s="5" t="s">
        <v>736</v>
      </c>
    </row>
    <row r="113" spans="9:10" ht="15.75" thickBot="1" x14ac:dyDescent="0.3">
      <c r="I113" s="5">
        <v>4518110</v>
      </c>
      <c r="J113" s="5" t="s">
        <v>737</v>
      </c>
    </row>
    <row r="114" spans="9:10" ht="15.75" thickBot="1" x14ac:dyDescent="0.3">
      <c r="I114" s="5">
        <v>4518111</v>
      </c>
      <c r="J114" s="5" t="s">
        <v>738</v>
      </c>
    </row>
    <row r="115" spans="9:10" ht="15.75" thickBot="1" x14ac:dyDescent="0.3">
      <c r="I115" s="5">
        <v>4518112</v>
      </c>
      <c r="J115" s="5" t="s">
        <v>739</v>
      </c>
    </row>
    <row r="116" spans="9:10" ht="15.75" thickBot="1" x14ac:dyDescent="0.3">
      <c r="I116" s="5">
        <v>4518113</v>
      </c>
      <c r="J116" s="5" t="s">
        <v>533</v>
      </c>
    </row>
    <row r="117" spans="9:10" ht="15.75" thickBot="1" x14ac:dyDescent="0.3">
      <c r="I117" s="5">
        <v>4518114</v>
      </c>
      <c r="J117" s="5" t="s">
        <v>740</v>
      </c>
    </row>
    <row r="118" spans="9:10" ht="15.75" thickBot="1" x14ac:dyDescent="0.3">
      <c r="I118" s="5">
        <v>4518115</v>
      </c>
      <c r="J118" s="5" t="s">
        <v>741</v>
      </c>
    </row>
    <row r="119" spans="9:10" ht="15.75" thickBot="1" x14ac:dyDescent="0.3">
      <c r="I119" s="5">
        <v>4518910</v>
      </c>
      <c r="J119" s="5" t="s">
        <v>685</v>
      </c>
    </row>
    <row r="120" spans="9:10" ht="15.75" thickBot="1" x14ac:dyDescent="0.3">
      <c r="I120" s="5">
        <v>4519860</v>
      </c>
      <c r="J120" s="5" t="s">
        <v>687</v>
      </c>
    </row>
    <row r="121" spans="9:10" ht="15.75" thickBot="1" x14ac:dyDescent="0.3">
      <c r="I121" s="11">
        <v>4519810</v>
      </c>
      <c r="J121" s="11" t="s">
        <v>686</v>
      </c>
    </row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2</xdr:row>
                <xdr:rowOff>9525</xdr:rowOff>
              </from>
              <to>
                <xdr:col>0</xdr:col>
                <xdr:colOff>228600</xdr:colOff>
                <xdr:row>3</xdr:row>
                <xdr:rowOff>28575</xdr:rowOff>
              </to>
            </anchor>
          </controlPr>
        </control>
      </mc:Choice>
      <mc:Fallback>
        <control shapeId="1026" r:id="rId4" name="Control 2"/>
      </mc:Fallback>
    </mc:AlternateContent>
    <mc:AlternateContent xmlns:mc="http://schemas.openxmlformats.org/markup-compatibility/2006">
      <mc:Choice Requires="x14">
        <control shapeId="1028" r:id="rId6" name="Control 4">
          <controlPr defaultSize="0" r:id="rId5">
            <anchor moveWithCells="1">
              <from>
                <xdr:col>0</xdr:col>
                <xdr:colOff>0</xdr:colOff>
                <xdr:row>3</xdr:row>
                <xdr:rowOff>9525</xdr:rowOff>
              </from>
              <to>
                <xdr:col>0</xdr:col>
                <xdr:colOff>228600</xdr:colOff>
                <xdr:row>4</xdr:row>
                <xdr:rowOff>28575</xdr:rowOff>
              </to>
            </anchor>
          </controlPr>
        </control>
      </mc:Choice>
      <mc:Fallback>
        <control shapeId="1028" r:id="rId6" name="Control 4"/>
      </mc:Fallback>
    </mc:AlternateContent>
    <mc:AlternateContent xmlns:mc="http://schemas.openxmlformats.org/markup-compatibility/2006">
      <mc:Choice Requires="x14">
        <control shapeId="1030" r:id="rId7" name="Control 6">
          <controlPr defaultSize="0" r:id="rId5">
            <anchor moveWithCells="1">
              <from>
                <xdr:col>0</xdr:col>
                <xdr:colOff>0</xdr:colOff>
                <xdr:row>4</xdr:row>
                <xdr:rowOff>9525</xdr:rowOff>
              </from>
              <to>
                <xdr:col>0</xdr:col>
                <xdr:colOff>228600</xdr:colOff>
                <xdr:row>5</xdr:row>
                <xdr:rowOff>28575</xdr:rowOff>
              </to>
            </anchor>
          </controlPr>
        </control>
      </mc:Choice>
      <mc:Fallback>
        <control shapeId="1030" r:id="rId7" name="Control 6"/>
      </mc:Fallback>
    </mc:AlternateContent>
    <mc:AlternateContent xmlns:mc="http://schemas.openxmlformats.org/markup-compatibility/2006">
      <mc:Choice Requires="x14">
        <control shapeId="1032" r:id="rId8" name="Control 8">
          <controlPr defaultSize="0" r:id="rId5">
            <anchor moveWithCells="1">
              <from>
                <xdr:col>0</xdr:col>
                <xdr:colOff>0</xdr:colOff>
                <xdr:row>5</xdr:row>
                <xdr:rowOff>9525</xdr:rowOff>
              </from>
              <to>
                <xdr:col>0</xdr:col>
                <xdr:colOff>228600</xdr:colOff>
                <xdr:row>6</xdr:row>
                <xdr:rowOff>28575</xdr:rowOff>
              </to>
            </anchor>
          </controlPr>
        </control>
      </mc:Choice>
      <mc:Fallback>
        <control shapeId="1032" r:id="rId8" name="Control 8"/>
      </mc:Fallback>
    </mc:AlternateContent>
    <mc:AlternateContent xmlns:mc="http://schemas.openxmlformats.org/markup-compatibility/2006">
      <mc:Choice Requires="x14">
        <control shapeId="1034" r:id="rId9" name="Control 10">
          <controlPr defaultSize="0" r:id="rId5">
            <anchor moveWithCells="1">
              <from>
                <xdr:col>0</xdr:col>
                <xdr:colOff>0</xdr:colOff>
                <xdr:row>6</xdr:row>
                <xdr:rowOff>9525</xdr:rowOff>
              </from>
              <to>
                <xdr:col>0</xdr:col>
                <xdr:colOff>228600</xdr:colOff>
                <xdr:row>7</xdr:row>
                <xdr:rowOff>28575</xdr:rowOff>
              </to>
            </anchor>
          </controlPr>
        </control>
      </mc:Choice>
      <mc:Fallback>
        <control shapeId="1034" r:id="rId9" name="Control 10"/>
      </mc:Fallback>
    </mc:AlternateContent>
    <mc:AlternateContent xmlns:mc="http://schemas.openxmlformats.org/markup-compatibility/2006">
      <mc:Choice Requires="x14">
        <control shapeId="1036" r:id="rId10" name="Control 12">
          <controlPr defaultSize="0" r:id="rId5">
            <anchor moveWithCells="1">
              <from>
                <xdr:col>0</xdr:col>
                <xdr:colOff>0</xdr:colOff>
                <xdr:row>7</xdr:row>
                <xdr:rowOff>9525</xdr:rowOff>
              </from>
              <to>
                <xdr:col>0</xdr:col>
                <xdr:colOff>228600</xdr:colOff>
                <xdr:row>8</xdr:row>
                <xdr:rowOff>28575</xdr:rowOff>
              </to>
            </anchor>
          </controlPr>
        </control>
      </mc:Choice>
      <mc:Fallback>
        <control shapeId="1036" r:id="rId10" name="Control 12"/>
      </mc:Fallback>
    </mc:AlternateContent>
    <mc:AlternateContent xmlns:mc="http://schemas.openxmlformats.org/markup-compatibility/2006">
      <mc:Choice Requires="x14">
        <control shapeId="1038" r:id="rId11" name="Control 14">
          <controlPr defaultSize="0" r:id="rId5">
            <anchor moveWithCells="1">
              <from>
                <xdr:col>0</xdr:col>
                <xdr:colOff>0</xdr:colOff>
                <xdr:row>8</xdr:row>
                <xdr:rowOff>28575</xdr:rowOff>
              </from>
              <to>
                <xdr:col>0</xdr:col>
                <xdr:colOff>228600</xdr:colOff>
                <xdr:row>9</xdr:row>
                <xdr:rowOff>47625</xdr:rowOff>
              </to>
            </anchor>
          </controlPr>
        </control>
      </mc:Choice>
      <mc:Fallback>
        <control shapeId="1038" r:id="rId11" name="Control 14"/>
      </mc:Fallback>
    </mc:AlternateContent>
    <mc:AlternateContent xmlns:mc="http://schemas.openxmlformats.org/markup-compatibility/2006">
      <mc:Choice Requires="x14">
        <control shapeId="1040" r:id="rId12" name="Control 16">
          <controlPr defaultSize="0" r:id="rId5">
            <anchor moveWithCells="1">
              <from>
                <xdr:col>0</xdr:col>
                <xdr:colOff>0</xdr:colOff>
                <xdr:row>9</xdr:row>
                <xdr:rowOff>28575</xdr:rowOff>
              </from>
              <to>
                <xdr:col>0</xdr:col>
                <xdr:colOff>228600</xdr:colOff>
                <xdr:row>10</xdr:row>
                <xdr:rowOff>47625</xdr:rowOff>
              </to>
            </anchor>
          </controlPr>
        </control>
      </mc:Choice>
      <mc:Fallback>
        <control shapeId="1040" r:id="rId12" name="Control 16"/>
      </mc:Fallback>
    </mc:AlternateContent>
    <mc:AlternateContent xmlns:mc="http://schemas.openxmlformats.org/markup-compatibility/2006">
      <mc:Choice Requires="x14">
        <control shapeId="1042" r:id="rId13" name="Control 18">
          <controlPr defaultSize="0" r:id="rId5">
            <anchor moveWithCells="1">
              <from>
                <xdr:col>0</xdr:col>
                <xdr:colOff>0</xdr:colOff>
                <xdr:row>10</xdr:row>
                <xdr:rowOff>28575</xdr:rowOff>
              </from>
              <to>
                <xdr:col>0</xdr:col>
                <xdr:colOff>228600</xdr:colOff>
                <xdr:row>11</xdr:row>
                <xdr:rowOff>47625</xdr:rowOff>
              </to>
            </anchor>
          </controlPr>
        </control>
      </mc:Choice>
      <mc:Fallback>
        <control shapeId="1042" r:id="rId13" name="Control 18"/>
      </mc:Fallback>
    </mc:AlternateContent>
    <mc:AlternateContent xmlns:mc="http://schemas.openxmlformats.org/markup-compatibility/2006">
      <mc:Choice Requires="x14">
        <control shapeId="1044" r:id="rId14" name="Control 20">
          <controlPr defaultSize="0" r:id="rId5">
            <anchor moveWithCells="1">
              <from>
                <xdr:col>0</xdr:col>
                <xdr:colOff>0</xdr:colOff>
                <xdr:row>11</xdr:row>
                <xdr:rowOff>28575</xdr:rowOff>
              </from>
              <to>
                <xdr:col>0</xdr:col>
                <xdr:colOff>228600</xdr:colOff>
                <xdr:row>12</xdr:row>
                <xdr:rowOff>47625</xdr:rowOff>
              </to>
            </anchor>
          </controlPr>
        </control>
      </mc:Choice>
      <mc:Fallback>
        <control shapeId="1044" r:id="rId14" name="Control 20"/>
      </mc:Fallback>
    </mc:AlternateContent>
    <mc:AlternateContent xmlns:mc="http://schemas.openxmlformats.org/markup-compatibility/2006">
      <mc:Choice Requires="x14">
        <control shapeId="1046" r:id="rId15" name="Control 22">
          <controlPr defaultSize="0" r:id="rId5">
            <anchor moveWithCells="1">
              <from>
                <xdr:col>0</xdr:col>
                <xdr:colOff>0</xdr:colOff>
                <xdr:row>12</xdr:row>
                <xdr:rowOff>28575</xdr:rowOff>
              </from>
              <to>
                <xdr:col>0</xdr:col>
                <xdr:colOff>228600</xdr:colOff>
                <xdr:row>13</xdr:row>
                <xdr:rowOff>47625</xdr:rowOff>
              </to>
            </anchor>
          </controlPr>
        </control>
      </mc:Choice>
      <mc:Fallback>
        <control shapeId="1046" r:id="rId15" name="Control 22"/>
      </mc:Fallback>
    </mc:AlternateContent>
    <mc:AlternateContent xmlns:mc="http://schemas.openxmlformats.org/markup-compatibility/2006">
      <mc:Choice Requires="x14">
        <control shapeId="1048" r:id="rId16" name="Control 24">
          <controlPr defaultSize="0" r:id="rId5">
            <anchor moveWithCells="1">
              <from>
                <xdr:col>0</xdr:col>
                <xdr:colOff>0</xdr:colOff>
                <xdr:row>13</xdr:row>
                <xdr:rowOff>28575</xdr:rowOff>
              </from>
              <to>
                <xdr:col>0</xdr:col>
                <xdr:colOff>228600</xdr:colOff>
                <xdr:row>14</xdr:row>
                <xdr:rowOff>47625</xdr:rowOff>
              </to>
            </anchor>
          </controlPr>
        </control>
      </mc:Choice>
      <mc:Fallback>
        <control shapeId="1048" r:id="rId16" name="Control 24"/>
      </mc:Fallback>
    </mc:AlternateContent>
    <mc:AlternateContent xmlns:mc="http://schemas.openxmlformats.org/markup-compatibility/2006">
      <mc:Choice Requires="x14">
        <control shapeId="1050" r:id="rId17" name="Control 26">
          <controlPr defaultSize="0" r:id="rId5">
            <anchor moveWithCells="1">
              <from>
                <xdr:col>0</xdr:col>
                <xdr:colOff>0</xdr:colOff>
                <xdr:row>14</xdr:row>
                <xdr:rowOff>28575</xdr:rowOff>
              </from>
              <to>
                <xdr:col>0</xdr:col>
                <xdr:colOff>228600</xdr:colOff>
                <xdr:row>15</xdr:row>
                <xdr:rowOff>47625</xdr:rowOff>
              </to>
            </anchor>
          </controlPr>
        </control>
      </mc:Choice>
      <mc:Fallback>
        <control shapeId="1050" r:id="rId17" name="Control 26"/>
      </mc:Fallback>
    </mc:AlternateContent>
    <mc:AlternateContent xmlns:mc="http://schemas.openxmlformats.org/markup-compatibility/2006">
      <mc:Choice Requires="x14">
        <control shapeId="1052" r:id="rId18" name="Control 28">
          <controlPr defaultSize="0" r:id="rId5">
            <anchor moveWithCells="1">
              <from>
                <xdr:col>0</xdr:col>
                <xdr:colOff>0</xdr:colOff>
                <xdr:row>15</xdr:row>
                <xdr:rowOff>28575</xdr:rowOff>
              </from>
              <to>
                <xdr:col>0</xdr:col>
                <xdr:colOff>228600</xdr:colOff>
                <xdr:row>16</xdr:row>
                <xdr:rowOff>47625</xdr:rowOff>
              </to>
            </anchor>
          </controlPr>
        </control>
      </mc:Choice>
      <mc:Fallback>
        <control shapeId="1052" r:id="rId18" name="Control 28"/>
      </mc:Fallback>
    </mc:AlternateContent>
    <mc:AlternateContent xmlns:mc="http://schemas.openxmlformats.org/markup-compatibility/2006">
      <mc:Choice Requires="x14">
        <control shapeId="1054" r:id="rId19" name="Control 30">
          <controlPr defaultSize="0" r:id="rId5">
            <anchor moveWithCells="1">
              <from>
                <xdr:col>0</xdr:col>
                <xdr:colOff>0</xdr:colOff>
                <xdr:row>16</xdr:row>
                <xdr:rowOff>28575</xdr:rowOff>
              </from>
              <to>
                <xdr:col>0</xdr:col>
                <xdr:colOff>228600</xdr:colOff>
                <xdr:row>17</xdr:row>
                <xdr:rowOff>47625</xdr:rowOff>
              </to>
            </anchor>
          </controlPr>
        </control>
      </mc:Choice>
      <mc:Fallback>
        <control shapeId="1054" r:id="rId19" name="Control 30"/>
      </mc:Fallback>
    </mc:AlternateContent>
    <mc:AlternateContent xmlns:mc="http://schemas.openxmlformats.org/markup-compatibility/2006">
      <mc:Choice Requires="x14">
        <control shapeId="1056" r:id="rId20" name="Control 32">
          <controlPr defaultSize="0" r:id="rId5">
            <anchor moveWithCells="1">
              <from>
                <xdr:col>0</xdr:col>
                <xdr:colOff>0</xdr:colOff>
                <xdr:row>17</xdr:row>
                <xdr:rowOff>28575</xdr:rowOff>
              </from>
              <to>
                <xdr:col>0</xdr:col>
                <xdr:colOff>228600</xdr:colOff>
                <xdr:row>18</xdr:row>
                <xdr:rowOff>47625</xdr:rowOff>
              </to>
            </anchor>
          </controlPr>
        </control>
      </mc:Choice>
      <mc:Fallback>
        <control shapeId="1056" r:id="rId20" name="Control 32"/>
      </mc:Fallback>
    </mc:AlternateContent>
    <mc:AlternateContent xmlns:mc="http://schemas.openxmlformats.org/markup-compatibility/2006">
      <mc:Choice Requires="x14">
        <control shapeId="1058" r:id="rId21" name="Control 34">
          <controlPr defaultSize="0" r:id="rId5">
            <anchor moveWithCells="1">
              <from>
                <xdr:col>0</xdr:col>
                <xdr:colOff>0</xdr:colOff>
                <xdr:row>18</xdr:row>
                <xdr:rowOff>28575</xdr:rowOff>
              </from>
              <to>
                <xdr:col>0</xdr:col>
                <xdr:colOff>228600</xdr:colOff>
                <xdr:row>19</xdr:row>
                <xdr:rowOff>47625</xdr:rowOff>
              </to>
            </anchor>
          </controlPr>
        </control>
      </mc:Choice>
      <mc:Fallback>
        <control shapeId="1058" r:id="rId21" name="Control 34"/>
      </mc:Fallback>
    </mc:AlternateContent>
    <mc:AlternateContent xmlns:mc="http://schemas.openxmlformats.org/markup-compatibility/2006">
      <mc:Choice Requires="x14">
        <control shapeId="1060" r:id="rId22" name="Control 36">
          <controlPr defaultSize="0" r:id="rId5">
            <anchor moveWithCells="1">
              <from>
                <xdr:col>0</xdr:col>
                <xdr:colOff>0</xdr:colOff>
                <xdr:row>19</xdr:row>
                <xdr:rowOff>28575</xdr:rowOff>
              </from>
              <to>
                <xdr:col>0</xdr:col>
                <xdr:colOff>228600</xdr:colOff>
                <xdr:row>20</xdr:row>
                <xdr:rowOff>47625</xdr:rowOff>
              </to>
            </anchor>
          </controlPr>
        </control>
      </mc:Choice>
      <mc:Fallback>
        <control shapeId="1060" r:id="rId22" name="Control 36"/>
      </mc:Fallback>
    </mc:AlternateContent>
    <mc:AlternateContent xmlns:mc="http://schemas.openxmlformats.org/markup-compatibility/2006">
      <mc:Choice Requires="x14">
        <control shapeId="1062" r:id="rId23" name="Control 38">
          <controlPr defaultSize="0" r:id="rId5">
            <anchor moveWithCells="1">
              <from>
                <xdr:col>0</xdr:col>
                <xdr:colOff>0</xdr:colOff>
                <xdr:row>20</xdr:row>
                <xdr:rowOff>28575</xdr:rowOff>
              </from>
              <to>
                <xdr:col>0</xdr:col>
                <xdr:colOff>228600</xdr:colOff>
                <xdr:row>21</xdr:row>
                <xdr:rowOff>47625</xdr:rowOff>
              </to>
            </anchor>
          </controlPr>
        </control>
      </mc:Choice>
      <mc:Fallback>
        <control shapeId="1062" r:id="rId23" name="Control 38"/>
      </mc:Fallback>
    </mc:AlternateContent>
    <mc:AlternateContent xmlns:mc="http://schemas.openxmlformats.org/markup-compatibility/2006">
      <mc:Choice Requires="x14">
        <control shapeId="1064" r:id="rId24" name="Control 40">
          <controlPr defaultSize="0" r:id="rId5">
            <anchor moveWithCells="1">
              <from>
                <xdr:col>0</xdr:col>
                <xdr:colOff>0</xdr:colOff>
                <xdr:row>21</xdr:row>
                <xdr:rowOff>28575</xdr:rowOff>
              </from>
              <to>
                <xdr:col>0</xdr:col>
                <xdr:colOff>228600</xdr:colOff>
                <xdr:row>22</xdr:row>
                <xdr:rowOff>47625</xdr:rowOff>
              </to>
            </anchor>
          </controlPr>
        </control>
      </mc:Choice>
      <mc:Fallback>
        <control shapeId="1064" r:id="rId24" name="Control 40"/>
      </mc:Fallback>
    </mc:AlternateContent>
    <mc:AlternateContent xmlns:mc="http://schemas.openxmlformats.org/markup-compatibility/2006">
      <mc:Choice Requires="x14">
        <control shapeId="1066" r:id="rId25" name="Control 42">
          <controlPr defaultSize="0" r:id="rId5">
            <anchor moveWithCells="1">
              <from>
                <xdr:col>0</xdr:col>
                <xdr:colOff>0</xdr:colOff>
                <xdr:row>22</xdr:row>
                <xdr:rowOff>28575</xdr:rowOff>
              </from>
              <to>
                <xdr:col>0</xdr:col>
                <xdr:colOff>228600</xdr:colOff>
                <xdr:row>23</xdr:row>
                <xdr:rowOff>47625</xdr:rowOff>
              </to>
            </anchor>
          </controlPr>
        </control>
      </mc:Choice>
      <mc:Fallback>
        <control shapeId="1066" r:id="rId25" name="Control 42"/>
      </mc:Fallback>
    </mc:AlternateContent>
    <mc:AlternateContent xmlns:mc="http://schemas.openxmlformats.org/markup-compatibility/2006">
      <mc:Choice Requires="x14">
        <control shapeId="1068" r:id="rId26" name="Control 44">
          <controlPr defaultSize="0" r:id="rId5">
            <anchor moveWithCells="1">
              <from>
                <xdr:col>0</xdr:col>
                <xdr:colOff>0</xdr:colOff>
                <xdr:row>23</xdr:row>
                <xdr:rowOff>38100</xdr:rowOff>
              </from>
              <to>
                <xdr:col>0</xdr:col>
                <xdr:colOff>228600</xdr:colOff>
                <xdr:row>24</xdr:row>
                <xdr:rowOff>66675</xdr:rowOff>
              </to>
            </anchor>
          </controlPr>
        </control>
      </mc:Choice>
      <mc:Fallback>
        <control shapeId="1068" r:id="rId26" name="Control 44"/>
      </mc:Fallback>
    </mc:AlternateContent>
    <mc:AlternateContent xmlns:mc="http://schemas.openxmlformats.org/markup-compatibility/2006">
      <mc:Choice Requires="x14">
        <control shapeId="1070" r:id="rId27" name="Control 46">
          <controlPr defaultSize="0" r:id="rId5">
            <anchor moveWithCells="1">
              <from>
                <xdr:col>0</xdr:col>
                <xdr:colOff>0</xdr:colOff>
                <xdr:row>24</xdr:row>
                <xdr:rowOff>38100</xdr:rowOff>
              </from>
              <to>
                <xdr:col>0</xdr:col>
                <xdr:colOff>228600</xdr:colOff>
                <xdr:row>25</xdr:row>
                <xdr:rowOff>66675</xdr:rowOff>
              </to>
            </anchor>
          </controlPr>
        </control>
      </mc:Choice>
      <mc:Fallback>
        <control shapeId="1070" r:id="rId27" name="Control 46"/>
      </mc:Fallback>
    </mc:AlternateContent>
    <mc:AlternateContent xmlns:mc="http://schemas.openxmlformats.org/markup-compatibility/2006">
      <mc:Choice Requires="x14">
        <control shapeId="1072" r:id="rId28" name="Control 48">
          <controlPr defaultSize="0" r:id="rId5">
            <anchor moveWithCells="1">
              <from>
                <xdr:col>0</xdr:col>
                <xdr:colOff>0</xdr:colOff>
                <xdr:row>25</xdr:row>
                <xdr:rowOff>38100</xdr:rowOff>
              </from>
              <to>
                <xdr:col>0</xdr:col>
                <xdr:colOff>228600</xdr:colOff>
                <xdr:row>26</xdr:row>
                <xdr:rowOff>66675</xdr:rowOff>
              </to>
            </anchor>
          </controlPr>
        </control>
      </mc:Choice>
      <mc:Fallback>
        <control shapeId="1072" r:id="rId28" name="Control 48"/>
      </mc:Fallback>
    </mc:AlternateContent>
    <mc:AlternateContent xmlns:mc="http://schemas.openxmlformats.org/markup-compatibility/2006">
      <mc:Choice Requires="x14">
        <control shapeId="1074" r:id="rId29" name="Control 50">
          <controlPr defaultSize="0" r:id="rId5">
            <anchor moveWithCells="1">
              <from>
                <xdr:col>0</xdr:col>
                <xdr:colOff>0</xdr:colOff>
                <xdr:row>26</xdr:row>
                <xdr:rowOff>47625</xdr:rowOff>
              </from>
              <to>
                <xdr:col>0</xdr:col>
                <xdr:colOff>228600</xdr:colOff>
                <xdr:row>27</xdr:row>
                <xdr:rowOff>66675</xdr:rowOff>
              </to>
            </anchor>
          </controlPr>
        </control>
      </mc:Choice>
      <mc:Fallback>
        <control shapeId="1074" r:id="rId29" name="Control 50"/>
      </mc:Fallback>
    </mc:AlternateContent>
    <mc:AlternateContent xmlns:mc="http://schemas.openxmlformats.org/markup-compatibility/2006">
      <mc:Choice Requires="x14">
        <control shapeId="1076" r:id="rId30" name="Control 52">
          <controlPr defaultSize="0" r:id="rId5">
            <anchor moveWithCells="1">
              <from>
                <xdr:col>0</xdr:col>
                <xdr:colOff>0</xdr:colOff>
                <xdr:row>27</xdr:row>
                <xdr:rowOff>47625</xdr:rowOff>
              </from>
              <to>
                <xdr:col>0</xdr:col>
                <xdr:colOff>228600</xdr:colOff>
                <xdr:row>28</xdr:row>
                <xdr:rowOff>66675</xdr:rowOff>
              </to>
            </anchor>
          </controlPr>
        </control>
      </mc:Choice>
      <mc:Fallback>
        <control shapeId="1076" r:id="rId30" name="Control 52"/>
      </mc:Fallback>
    </mc:AlternateContent>
    <mc:AlternateContent xmlns:mc="http://schemas.openxmlformats.org/markup-compatibility/2006">
      <mc:Choice Requires="x14">
        <control shapeId="1078" r:id="rId31" name="Control 54">
          <controlPr defaultSize="0" r:id="rId5">
            <anchor moveWithCells="1">
              <from>
                <xdr:col>0</xdr:col>
                <xdr:colOff>0</xdr:colOff>
                <xdr:row>28</xdr:row>
                <xdr:rowOff>47625</xdr:rowOff>
              </from>
              <to>
                <xdr:col>0</xdr:col>
                <xdr:colOff>228600</xdr:colOff>
                <xdr:row>29</xdr:row>
                <xdr:rowOff>66675</xdr:rowOff>
              </to>
            </anchor>
          </controlPr>
        </control>
      </mc:Choice>
      <mc:Fallback>
        <control shapeId="1078" r:id="rId31" name="Control 54"/>
      </mc:Fallback>
    </mc:AlternateContent>
    <mc:AlternateContent xmlns:mc="http://schemas.openxmlformats.org/markup-compatibility/2006">
      <mc:Choice Requires="x14">
        <control shapeId="1080" r:id="rId32" name="Control 56">
          <controlPr defaultSize="0" r:id="rId5">
            <anchor moveWithCells="1">
              <from>
                <xdr:col>0</xdr:col>
                <xdr:colOff>0</xdr:colOff>
                <xdr:row>29</xdr:row>
                <xdr:rowOff>47625</xdr:rowOff>
              </from>
              <to>
                <xdr:col>0</xdr:col>
                <xdr:colOff>228600</xdr:colOff>
                <xdr:row>30</xdr:row>
                <xdr:rowOff>66675</xdr:rowOff>
              </to>
            </anchor>
          </controlPr>
        </control>
      </mc:Choice>
      <mc:Fallback>
        <control shapeId="1080" r:id="rId32" name="Control 56"/>
      </mc:Fallback>
    </mc:AlternateContent>
    <mc:AlternateContent xmlns:mc="http://schemas.openxmlformats.org/markup-compatibility/2006">
      <mc:Choice Requires="x14">
        <control shapeId="1082" r:id="rId33" name="Control 58">
          <controlPr defaultSize="0" r:id="rId5">
            <anchor moveWithCells="1">
              <from>
                <xdr:col>0</xdr:col>
                <xdr:colOff>0</xdr:colOff>
                <xdr:row>30</xdr:row>
                <xdr:rowOff>47625</xdr:rowOff>
              </from>
              <to>
                <xdr:col>0</xdr:col>
                <xdr:colOff>228600</xdr:colOff>
                <xdr:row>31</xdr:row>
                <xdr:rowOff>66675</xdr:rowOff>
              </to>
            </anchor>
          </controlPr>
        </control>
      </mc:Choice>
      <mc:Fallback>
        <control shapeId="1082" r:id="rId33" name="Control 58"/>
      </mc:Fallback>
    </mc:AlternateContent>
    <mc:AlternateContent xmlns:mc="http://schemas.openxmlformats.org/markup-compatibility/2006">
      <mc:Choice Requires="x14">
        <control shapeId="1087" r:id="rId34" name="Control 63">
          <controlPr defaultSize="0" r:id="rId5">
            <anchor moveWithCells="1">
              <from>
                <xdr:col>6</xdr:col>
                <xdr:colOff>9525</xdr:colOff>
                <xdr:row>2</xdr:row>
                <xdr:rowOff>9525</xdr:rowOff>
              </from>
              <to>
                <xdr:col>6</xdr:col>
                <xdr:colOff>238125</xdr:colOff>
                <xdr:row>3</xdr:row>
                <xdr:rowOff>28575</xdr:rowOff>
              </to>
            </anchor>
          </controlPr>
        </control>
      </mc:Choice>
      <mc:Fallback>
        <control shapeId="1087" r:id="rId34" name="Control 63"/>
      </mc:Fallback>
    </mc:AlternateContent>
    <mc:AlternateContent xmlns:mc="http://schemas.openxmlformats.org/markup-compatibility/2006">
      <mc:Choice Requires="x14">
        <control shapeId="1089" r:id="rId35" name="Control 65">
          <controlPr defaultSize="0" r:id="rId5">
            <anchor moveWithCells="1">
              <from>
                <xdr:col>6</xdr:col>
                <xdr:colOff>9525</xdr:colOff>
                <xdr:row>3</xdr:row>
                <xdr:rowOff>9525</xdr:rowOff>
              </from>
              <to>
                <xdr:col>6</xdr:col>
                <xdr:colOff>238125</xdr:colOff>
                <xdr:row>4</xdr:row>
                <xdr:rowOff>28575</xdr:rowOff>
              </to>
            </anchor>
          </controlPr>
        </control>
      </mc:Choice>
      <mc:Fallback>
        <control shapeId="1089" r:id="rId35" name="Control 65"/>
      </mc:Fallback>
    </mc:AlternateContent>
    <mc:AlternateContent xmlns:mc="http://schemas.openxmlformats.org/markup-compatibility/2006">
      <mc:Choice Requires="x14">
        <control shapeId="1091" r:id="rId36" name="Control 67">
          <controlPr defaultSize="0" r:id="rId5">
            <anchor moveWithCells="1">
              <from>
                <xdr:col>6</xdr:col>
                <xdr:colOff>9525</xdr:colOff>
                <xdr:row>4</xdr:row>
                <xdr:rowOff>9525</xdr:rowOff>
              </from>
              <to>
                <xdr:col>6</xdr:col>
                <xdr:colOff>238125</xdr:colOff>
                <xdr:row>5</xdr:row>
                <xdr:rowOff>28575</xdr:rowOff>
              </to>
            </anchor>
          </controlPr>
        </control>
      </mc:Choice>
      <mc:Fallback>
        <control shapeId="1091" r:id="rId36" name="Control 67"/>
      </mc:Fallback>
    </mc:AlternateContent>
    <mc:AlternateContent xmlns:mc="http://schemas.openxmlformats.org/markup-compatibility/2006">
      <mc:Choice Requires="x14">
        <control shapeId="1093" r:id="rId37" name="Control 69">
          <controlPr defaultSize="0" r:id="rId5">
            <anchor moveWithCells="1">
              <from>
                <xdr:col>6</xdr:col>
                <xdr:colOff>9525</xdr:colOff>
                <xdr:row>5</xdr:row>
                <xdr:rowOff>9525</xdr:rowOff>
              </from>
              <to>
                <xdr:col>6</xdr:col>
                <xdr:colOff>238125</xdr:colOff>
                <xdr:row>6</xdr:row>
                <xdr:rowOff>28575</xdr:rowOff>
              </to>
            </anchor>
          </controlPr>
        </control>
      </mc:Choice>
      <mc:Fallback>
        <control shapeId="1093" r:id="rId37" name="Control 69"/>
      </mc:Fallback>
    </mc:AlternateContent>
    <mc:AlternateContent xmlns:mc="http://schemas.openxmlformats.org/markup-compatibility/2006">
      <mc:Choice Requires="x14">
        <control shapeId="1095" r:id="rId38" name="Control 71">
          <controlPr defaultSize="0" r:id="rId5">
            <anchor moveWithCells="1">
              <from>
                <xdr:col>6</xdr:col>
                <xdr:colOff>9525</xdr:colOff>
                <xdr:row>6</xdr:row>
                <xdr:rowOff>9525</xdr:rowOff>
              </from>
              <to>
                <xdr:col>6</xdr:col>
                <xdr:colOff>238125</xdr:colOff>
                <xdr:row>7</xdr:row>
                <xdr:rowOff>28575</xdr:rowOff>
              </to>
            </anchor>
          </controlPr>
        </control>
      </mc:Choice>
      <mc:Fallback>
        <control shapeId="1095" r:id="rId38" name="Control 71"/>
      </mc:Fallback>
    </mc:AlternateContent>
    <mc:AlternateContent xmlns:mc="http://schemas.openxmlformats.org/markup-compatibility/2006">
      <mc:Choice Requires="x14">
        <control shapeId="1097" r:id="rId39" name="Control 73">
          <controlPr defaultSize="0" r:id="rId5">
            <anchor moveWithCells="1">
              <from>
                <xdr:col>6</xdr:col>
                <xdr:colOff>9525</xdr:colOff>
                <xdr:row>7</xdr:row>
                <xdr:rowOff>9525</xdr:rowOff>
              </from>
              <to>
                <xdr:col>6</xdr:col>
                <xdr:colOff>238125</xdr:colOff>
                <xdr:row>8</xdr:row>
                <xdr:rowOff>28575</xdr:rowOff>
              </to>
            </anchor>
          </controlPr>
        </control>
      </mc:Choice>
      <mc:Fallback>
        <control shapeId="1097" r:id="rId39" name="Control 73"/>
      </mc:Fallback>
    </mc:AlternateContent>
    <mc:AlternateContent xmlns:mc="http://schemas.openxmlformats.org/markup-compatibility/2006">
      <mc:Choice Requires="x14">
        <control shapeId="1099" r:id="rId40" name="Control 75">
          <controlPr defaultSize="0" r:id="rId5">
            <anchor moveWithCells="1">
              <from>
                <xdr:col>6</xdr:col>
                <xdr:colOff>9525</xdr:colOff>
                <xdr:row>8</xdr:row>
                <xdr:rowOff>28575</xdr:rowOff>
              </from>
              <to>
                <xdr:col>6</xdr:col>
                <xdr:colOff>238125</xdr:colOff>
                <xdr:row>9</xdr:row>
                <xdr:rowOff>47625</xdr:rowOff>
              </to>
            </anchor>
          </controlPr>
        </control>
      </mc:Choice>
      <mc:Fallback>
        <control shapeId="1099" r:id="rId40" name="Control 75"/>
      </mc:Fallback>
    </mc:AlternateContent>
    <mc:AlternateContent xmlns:mc="http://schemas.openxmlformats.org/markup-compatibility/2006">
      <mc:Choice Requires="x14">
        <control shapeId="1101" r:id="rId41" name="Control 77">
          <controlPr defaultSize="0" r:id="rId5">
            <anchor moveWithCells="1">
              <from>
                <xdr:col>6</xdr:col>
                <xdr:colOff>9525</xdr:colOff>
                <xdr:row>9</xdr:row>
                <xdr:rowOff>28575</xdr:rowOff>
              </from>
              <to>
                <xdr:col>6</xdr:col>
                <xdr:colOff>238125</xdr:colOff>
                <xdr:row>10</xdr:row>
                <xdr:rowOff>47625</xdr:rowOff>
              </to>
            </anchor>
          </controlPr>
        </control>
      </mc:Choice>
      <mc:Fallback>
        <control shapeId="1101" r:id="rId41" name="Control 77"/>
      </mc:Fallback>
    </mc:AlternateContent>
    <mc:AlternateContent xmlns:mc="http://schemas.openxmlformats.org/markup-compatibility/2006">
      <mc:Choice Requires="x14">
        <control shapeId="1103" r:id="rId42" name="Control 79">
          <controlPr defaultSize="0" r:id="rId5">
            <anchor moveWithCells="1">
              <from>
                <xdr:col>6</xdr:col>
                <xdr:colOff>9525</xdr:colOff>
                <xdr:row>10</xdr:row>
                <xdr:rowOff>28575</xdr:rowOff>
              </from>
              <to>
                <xdr:col>6</xdr:col>
                <xdr:colOff>238125</xdr:colOff>
                <xdr:row>11</xdr:row>
                <xdr:rowOff>47625</xdr:rowOff>
              </to>
            </anchor>
          </controlPr>
        </control>
      </mc:Choice>
      <mc:Fallback>
        <control shapeId="1103" r:id="rId42" name="Control 79"/>
      </mc:Fallback>
    </mc:AlternateContent>
    <mc:AlternateContent xmlns:mc="http://schemas.openxmlformats.org/markup-compatibility/2006">
      <mc:Choice Requires="x14">
        <control shapeId="1105" r:id="rId43" name="Control 81">
          <controlPr defaultSize="0" r:id="rId5">
            <anchor moveWithCells="1">
              <from>
                <xdr:col>6</xdr:col>
                <xdr:colOff>9525</xdr:colOff>
                <xdr:row>11</xdr:row>
                <xdr:rowOff>28575</xdr:rowOff>
              </from>
              <to>
                <xdr:col>6</xdr:col>
                <xdr:colOff>238125</xdr:colOff>
                <xdr:row>12</xdr:row>
                <xdr:rowOff>47625</xdr:rowOff>
              </to>
            </anchor>
          </controlPr>
        </control>
      </mc:Choice>
      <mc:Fallback>
        <control shapeId="1105" r:id="rId43" name="Control 81"/>
      </mc:Fallback>
    </mc:AlternateContent>
    <mc:AlternateContent xmlns:mc="http://schemas.openxmlformats.org/markup-compatibility/2006">
      <mc:Choice Requires="x14">
        <control shapeId="1108" r:id="rId44" name="Control 84">
          <controlPr defaultSize="0" r:id="rId5">
            <anchor moveWithCells="1">
              <from>
                <xdr:col>6</xdr:col>
                <xdr:colOff>9525</xdr:colOff>
                <xdr:row>13</xdr:row>
                <xdr:rowOff>28575</xdr:rowOff>
              </from>
              <to>
                <xdr:col>6</xdr:col>
                <xdr:colOff>238125</xdr:colOff>
                <xdr:row>14</xdr:row>
                <xdr:rowOff>47625</xdr:rowOff>
              </to>
            </anchor>
          </controlPr>
        </control>
      </mc:Choice>
      <mc:Fallback>
        <control shapeId="1108" r:id="rId44" name="Control 84"/>
      </mc:Fallback>
    </mc:AlternateContent>
    <mc:AlternateContent xmlns:mc="http://schemas.openxmlformats.org/markup-compatibility/2006">
      <mc:Choice Requires="x14">
        <control shapeId="1110" r:id="rId45" name="Control 86">
          <controlPr defaultSize="0" r:id="rId5">
            <anchor moveWithCells="1">
              <from>
                <xdr:col>6</xdr:col>
                <xdr:colOff>9525</xdr:colOff>
                <xdr:row>14</xdr:row>
                <xdr:rowOff>28575</xdr:rowOff>
              </from>
              <to>
                <xdr:col>6</xdr:col>
                <xdr:colOff>238125</xdr:colOff>
                <xdr:row>15</xdr:row>
                <xdr:rowOff>47625</xdr:rowOff>
              </to>
            </anchor>
          </controlPr>
        </control>
      </mc:Choice>
      <mc:Fallback>
        <control shapeId="1110" r:id="rId45" name="Control 86"/>
      </mc:Fallback>
    </mc:AlternateContent>
    <mc:AlternateContent xmlns:mc="http://schemas.openxmlformats.org/markup-compatibility/2006">
      <mc:Choice Requires="x14">
        <control shapeId="1112" r:id="rId46" name="Control 88">
          <controlPr defaultSize="0" r:id="rId5">
            <anchor moveWithCells="1">
              <from>
                <xdr:col>6</xdr:col>
                <xdr:colOff>9525</xdr:colOff>
                <xdr:row>15</xdr:row>
                <xdr:rowOff>28575</xdr:rowOff>
              </from>
              <to>
                <xdr:col>6</xdr:col>
                <xdr:colOff>238125</xdr:colOff>
                <xdr:row>16</xdr:row>
                <xdr:rowOff>47625</xdr:rowOff>
              </to>
            </anchor>
          </controlPr>
        </control>
      </mc:Choice>
      <mc:Fallback>
        <control shapeId="1112" r:id="rId46" name="Control 88"/>
      </mc:Fallback>
    </mc:AlternateContent>
    <mc:AlternateContent xmlns:mc="http://schemas.openxmlformats.org/markup-compatibility/2006">
      <mc:Choice Requires="x14">
        <control shapeId="1114" r:id="rId47" name="Control 90">
          <controlPr defaultSize="0" r:id="rId5">
            <anchor moveWithCells="1">
              <from>
                <xdr:col>6</xdr:col>
                <xdr:colOff>9525</xdr:colOff>
                <xdr:row>16</xdr:row>
                <xdr:rowOff>28575</xdr:rowOff>
              </from>
              <to>
                <xdr:col>6</xdr:col>
                <xdr:colOff>238125</xdr:colOff>
                <xdr:row>17</xdr:row>
                <xdr:rowOff>47625</xdr:rowOff>
              </to>
            </anchor>
          </controlPr>
        </control>
      </mc:Choice>
      <mc:Fallback>
        <control shapeId="1114" r:id="rId47" name="Control 90"/>
      </mc:Fallback>
    </mc:AlternateContent>
    <mc:AlternateContent xmlns:mc="http://schemas.openxmlformats.org/markup-compatibility/2006">
      <mc:Choice Requires="x14">
        <control shapeId="1116" r:id="rId48" name="Control 92">
          <controlPr defaultSize="0" r:id="rId5">
            <anchor moveWithCells="1">
              <from>
                <xdr:col>6</xdr:col>
                <xdr:colOff>9525</xdr:colOff>
                <xdr:row>17</xdr:row>
                <xdr:rowOff>28575</xdr:rowOff>
              </from>
              <to>
                <xdr:col>6</xdr:col>
                <xdr:colOff>238125</xdr:colOff>
                <xdr:row>18</xdr:row>
                <xdr:rowOff>47625</xdr:rowOff>
              </to>
            </anchor>
          </controlPr>
        </control>
      </mc:Choice>
      <mc:Fallback>
        <control shapeId="1116" r:id="rId48" name="Control 92"/>
      </mc:Fallback>
    </mc:AlternateContent>
    <mc:AlternateContent xmlns:mc="http://schemas.openxmlformats.org/markup-compatibility/2006">
      <mc:Choice Requires="x14">
        <control shapeId="1118" r:id="rId49" name="Control 94">
          <controlPr defaultSize="0" r:id="rId5">
            <anchor moveWithCells="1">
              <from>
                <xdr:col>6</xdr:col>
                <xdr:colOff>9525</xdr:colOff>
                <xdr:row>18</xdr:row>
                <xdr:rowOff>28575</xdr:rowOff>
              </from>
              <to>
                <xdr:col>6</xdr:col>
                <xdr:colOff>238125</xdr:colOff>
                <xdr:row>19</xdr:row>
                <xdr:rowOff>47625</xdr:rowOff>
              </to>
            </anchor>
          </controlPr>
        </control>
      </mc:Choice>
      <mc:Fallback>
        <control shapeId="1118" r:id="rId49" name="Control 94"/>
      </mc:Fallback>
    </mc:AlternateContent>
    <mc:AlternateContent xmlns:mc="http://schemas.openxmlformats.org/markup-compatibility/2006">
      <mc:Choice Requires="x14">
        <control shapeId="1120" r:id="rId50" name="Control 96">
          <controlPr defaultSize="0" r:id="rId5">
            <anchor moveWithCells="1">
              <from>
                <xdr:col>6</xdr:col>
                <xdr:colOff>9525</xdr:colOff>
                <xdr:row>19</xdr:row>
                <xdr:rowOff>28575</xdr:rowOff>
              </from>
              <to>
                <xdr:col>6</xdr:col>
                <xdr:colOff>238125</xdr:colOff>
                <xdr:row>20</xdr:row>
                <xdr:rowOff>47625</xdr:rowOff>
              </to>
            </anchor>
          </controlPr>
        </control>
      </mc:Choice>
      <mc:Fallback>
        <control shapeId="1120" r:id="rId50" name="Control 96"/>
      </mc:Fallback>
    </mc:AlternateContent>
    <mc:AlternateContent xmlns:mc="http://schemas.openxmlformats.org/markup-compatibility/2006">
      <mc:Choice Requires="x14">
        <control shapeId="1122" r:id="rId51" name="Control 98">
          <controlPr defaultSize="0" r:id="rId5">
            <anchor moveWithCells="1">
              <from>
                <xdr:col>6</xdr:col>
                <xdr:colOff>9525</xdr:colOff>
                <xdr:row>20</xdr:row>
                <xdr:rowOff>28575</xdr:rowOff>
              </from>
              <to>
                <xdr:col>6</xdr:col>
                <xdr:colOff>238125</xdr:colOff>
                <xdr:row>21</xdr:row>
                <xdr:rowOff>47625</xdr:rowOff>
              </to>
            </anchor>
          </controlPr>
        </control>
      </mc:Choice>
      <mc:Fallback>
        <control shapeId="1122" r:id="rId51" name="Control 98"/>
      </mc:Fallback>
    </mc:AlternateContent>
    <mc:AlternateContent xmlns:mc="http://schemas.openxmlformats.org/markup-compatibility/2006">
      <mc:Choice Requires="x14">
        <control shapeId="1124" r:id="rId52" name="Control 100">
          <controlPr defaultSize="0" r:id="rId5">
            <anchor moveWithCells="1">
              <from>
                <xdr:col>6</xdr:col>
                <xdr:colOff>9525</xdr:colOff>
                <xdr:row>21</xdr:row>
                <xdr:rowOff>28575</xdr:rowOff>
              </from>
              <to>
                <xdr:col>6</xdr:col>
                <xdr:colOff>238125</xdr:colOff>
                <xdr:row>22</xdr:row>
                <xdr:rowOff>47625</xdr:rowOff>
              </to>
            </anchor>
          </controlPr>
        </control>
      </mc:Choice>
      <mc:Fallback>
        <control shapeId="1124" r:id="rId52" name="Control 100"/>
      </mc:Fallback>
    </mc:AlternateContent>
    <mc:AlternateContent xmlns:mc="http://schemas.openxmlformats.org/markup-compatibility/2006">
      <mc:Choice Requires="x14">
        <control shapeId="1127" r:id="rId53" name="Control 103">
          <controlPr defaultSize="0" r:id="rId5">
            <anchor moveWithCells="1">
              <from>
                <xdr:col>6</xdr:col>
                <xdr:colOff>9525</xdr:colOff>
                <xdr:row>23</xdr:row>
                <xdr:rowOff>38100</xdr:rowOff>
              </from>
              <to>
                <xdr:col>6</xdr:col>
                <xdr:colOff>238125</xdr:colOff>
                <xdr:row>24</xdr:row>
                <xdr:rowOff>66675</xdr:rowOff>
              </to>
            </anchor>
          </controlPr>
        </control>
      </mc:Choice>
      <mc:Fallback>
        <control shapeId="1127" r:id="rId53" name="Control 103"/>
      </mc:Fallback>
    </mc:AlternateContent>
    <mc:AlternateContent xmlns:mc="http://schemas.openxmlformats.org/markup-compatibility/2006">
      <mc:Choice Requires="x14">
        <control shapeId="1129" r:id="rId54" name="Control 105">
          <controlPr defaultSize="0" r:id="rId5">
            <anchor moveWithCells="1">
              <from>
                <xdr:col>6</xdr:col>
                <xdr:colOff>9525</xdr:colOff>
                <xdr:row>24</xdr:row>
                <xdr:rowOff>38100</xdr:rowOff>
              </from>
              <to>
                <xdr:col>6</xdr:col>
                <xdr:colOff>238125</xdr:colOff>
                <xdr:row>25</xdr:row>
                <xdr:rowOff>66675</xdr:rowOff>
              </to>
            </anchor>
          </controlPr>
        </control>
      </mc:Choice>
      <mc:Fallback>
        <control shapeId="1129" r:id="rId54" name="Control 105"/>
      </mc:Fallback>
    </mc:AlternateContent>
    <mc:AlternateContent xmlns:mc="http://schemas.openxmlformats.org/markup-compatibility/2006">
      <mc:Choice Requires="x14">
        <control shapeId="1131" r:id="rId55" name="Control 107">
          <controlPr defaultSize="0" r:id="rId5">
            <anchor moveWithCells="1">
              <from>
                <xdr:col>6</xdr:col>
                <xdr:colOff>9525</xdr:colOff>
                <xdr:row>25</xdr:row>
                <xdr:rowOff>38100</xdr:rowOff>
              </from>
              <to>
                <xdr:col>6</xdr:col>
                <xdr:colOff>238125</xdr:colOff>
                <xdr:row>26</xdr:row>
                <xdr:rowOff>66675</xdr:rowOff>
              </to>
            </anchor>
          </controlPr>
        </control>
      </mc:Choice>
      <mc:Fallback>
        <control shapeId="1131" r:id="rId55" name="Control 107"/>
      </mc:Fallback>
    </mc:AlternateContent>
    <mc:AlternateContent xmlns:mc="http://schemas.openxmlformats.org/markup-compatibility/2006">
      <mc:Choice Requires="x14">
        <control shapeId="1133" r:id="rId56" name="Control 109">
          <controlPr defaultSize="0" r:id="rId5">
            <anchor moveWithCells="1">
              <from>
                <xdr:col>6</xdr:col>
                <xdr:colOff>9525</xdr:colOff>
                <xdr:row>26</xdr:row>
                <xdr:rowOff>47625</xdr:rowOff>
              </from>
              <to>
                <xdr:col>6</xdr:col>
                <xdr:colOff>238125</xdr:colOff>
                <xdr:row>27</xdr:row>
                <xdr:rowOff>66675</xdr:rowOff>
              </to>
            </anchor>
          </controlPr>
        </control>
      </mc:Choice>
      <mc:Fallback>
        <control shapeId="1133" r:id="rId56" name="Control 109"/>
      </mc:Fallback>
    </mc:AlternateContent>
    <mc:AlternateContent xmlns:mc="http://schemas.openxmlformats.org/markup-compatibility/2006">
      <mc:Choice Requires="x14">
        <control shapeId="1135" r:id="rId57" name="Control 111">
          <controlPr defaultSize="0" r:id="rId5">
            <anchor moveWithCells="1">
              <from>
                <xdr:col>6</xdr:col>
                <xdr:colOff>9525</xdr:colOff>
                <xdr:row>27</xdr:row>
                <xdr:rowOff>47625</xdr:rowOff>
              </from>
              <to>
                <xdr:col>6</xdr:col>
                <xdr:colOff>238125</xdr:colOff>
                <xdr:row>28</xdr:row>
                <xdr:rowOff>66675</xdr:rowOff>
              </to>
            </anchor>
          </controlPr>
        </control>
      </mc:Choice>
      <mc:Fallback>
        <control shapeId="1135" r:id="rId57" name="Control 111"/>
      </mc:Fallback>
    </mc:AlternateContent>
    <mc:AlternateContent xmlns:mc="http://schemas.openxmlformats.org/markup-compatibility/2006">
      <mc:Choice Requires="x14">
        <control shapeId="1137" r:id="rId58" name="Control 113">
          <controlPr defaultSize="0" r:id="rId5">
            <anchor moveWithCells="1">
              <from>
                <xdr:col>6</xdr:col>
                <xdr:colOff>9525</xdr:colOff>
                <xdr:row>28</xdr:row>
                <xdr:rowOff>47625</xdr:rowOff>
              </from>
              <to>
                <xdr:col>6</xdr:col>
                <xdr:colOff>238125</xdr:colOff>
                <xdr:row>29</xdr:row>
                <xdr:rowOff>66675</xdr:rowOff>
              </to>
            </anchor>
          </controlPr>
        </control>
      </mc:Choice>
      <mc:Fallback>
        <control shapeId="1137" r:id="rId58" name="Control 113"/>
      </mc:Fallback>
    </mc:AlternateContent>
    <mc:AlternateContent xmlns:mc="http://schemas.openxmlformats.org/markup-compatibility/2006">
      <mc:Choice Requires="x14">
        <control shapeId="1139" r:id="rId59" name="Control 115">
          <controlPr defaultSize="0" r:id="rId5">
            <anchor moveWithCells="1">
              <from>
                <xdr:col>6</xdr:col>
                <xdr:colOff>9525</xdr:colOff>
                <xdr:row>29</xdr:row>
                <xdr:rowOff>47625</xdr:rowOff>
              </from>
              <to>
                <xdr:col>6</xdr:col>
                <xdr:colOff>238125</xdr:colOff>
                <xdr:row>30</xdr:row>
                <xdr:rowOff>66675</xdr:rowOff>
              </to>
            </anchor>
          </controlPr>
        </control>
      </mc:Choice>
      <mc:Fallback>
        <control shapeId="1139" r:id="rId59" name="Control 115"/>
      </mc:Fallback>
    </mc:AlternateContent>
    <mc:AlternateContent xmlns:mc="http://schemas.openxmlformats.org/markup-compatibility/2006">
      <mc:Choice Requires="x14">
        <control shapeId="1141" r:id="rId60" name="Control 117">
          <controlPr defaultSize="0" r:id="rId5">
            <anchor moveWithCells="1">
              <from>
                <xdr:col>6</xdr:col>
                <xdr:colOff>9525</xdr:colOff>
                <xdr:row>30</xdr:row>
                <xdr:rowOff>47625</xdr:rowOff>
              </from>
              <to>
                <xdr:col>6</xdr:col>
                <xdr:colOff>238125</xdr:colOff>
                <xdr:row>31</xdr:row>
                <xdr:rowOff>66675</xdr:rowOff>
              </to>
            </anchor>
          </controlPr>
        </control>
      </mc:Choice>
      <mc:Fallback>
        <control shapeId="1141" r:id="rId60" name="Control 117"/>
      </mc:Fallback>
    </mc:AlternateContent>
    <mc:AlternateContent xmlns:mc="http://schemas.openxmlformats.org/markup-compatibility/2006">
      <mc:Choice Requires="x14">
        <control shapeId="1144" r:id="rId61" name="Control 120">
          <controlPr defaultSize="0" r:id="rId5">
            <anchor moveWithCells="1">
              <from>
                <xdr:col>6</xdr:col>
                <xdr:colOff>9525</xdr:colOff>
                <xdr:row>32</xdr:row>
                <xdr:rowOff>66675</xdr:rowOff>
              </from>
              <to>
                <xdr:col>6</xdr:col>
                <xdr:colOff>238125</xdr:colOff>
                <xdr:row>33</xdr:row>
                <xdr:rowOff>85725</xdr:rowOff>
              </to>
            </anchor>
          </controlPr>
        </control>
      </mc:Choice>
      <mc:Fallback>
        <control shapeId="1144" r:id="rId61" name="Control 120"/>
      </mc:Fallback>
    </mc:AlternateContent>
    <mc:AlternateContent xmlns:mc="http://schemas.openxmlformats.org/markup-compatibility/2006">
      <mc:Choice Requires="x14">
        <control shapeId="1146" r:id="rId62" name="Control 122">
          <controlPr defaultSize="0" r:id="rId5">
            <anchor moveWithCells="1">
              <from>
                <xdr:col>6</xdr:col>
                <xdr:colOff>9525</xdr:colOff>
                <xdr:row>33</xdr:row>
                <xdr:rowOff>66675</xdr:rowOff>
              </from>
              <to>
                <xdr:col>6</xdr:col>
                <xdr:colOff>238125</xdr:colOff>
                <xdr:row>34</xdr:row>
                <xdr:rowOff>85725</xdr:rowOff>
              </to>
            </anchor>
          </controlPr>
        </control>
      </mc:Choice>
      <mc:Fallback>
        <control shapeId="1146" r:id="rId62" name="Control 122"/>
      </mc:Fallback>
    </mc:AlternateContent>
    <mc:AlternateContent xmlns:mc="http://schemas.openxmlformats.org/markup-compatibility/2006">
      <mc:Choice Requires="x14">
        <control shapeId="1148" r:id="rId63" name="Control 124">
          <controlPr defaultSize="0" r:id="rId5">
            <anchor moveWithCells="1">
              <from>
                <xdr:col>6</xdr:col>
                <xdr:colOff>9525</xdr:colOff>
                <xdr:row>34</xdr:row>
                <xdr:rowOff>66675</xdr:rowOff>
              </from>
              <to>
                <xdr:col>6</xdr:col>
                <xdr:colOff>238125</xdr:colOff>
                <xdr:row>35</xdr:row>
                <xdr:rowOff>85725</xdr:rowOff>
              </to>
            </anchor>
          </controlPr>
        </control>
      </mc:Choice>
      <mc:Fallback>
        <control shapeId="1148" r:id="rId63" name="Control 124"/>
      </mc:Fallback>
    </mc:AlternateContent>
    <mc:AlternateContent xmlns:mc="http://schemas.openxmlformats.org/markup-compatibility/2006">
      <mc:Choice Requires="x14">
        <control shapeId="1150" r:id="rId64" name="Control 126">
          <controlPr defaultSize="0" r:id="rId5">
            <anchor moveWithCells="1">
              <from>
                <xdr:col>6</xdr:col>
                <xdr:colOff>9525</xdr:colOff>
                <xdr:row>35</xdr:row>
                <xdr:rowOff>66675</xdr:rowOff>
              </from>
              <to>
                <xdr:col>6</xdr:col>
                <xdr:colOff>238125</xdr:colOff>
                <xdr:row>36</xdr:row>
                <xdr:rowOff>85725</xdr:rowOff>
              </to>
            </anchor>
          </controlPr>
        </control>
      </mc:Choice>
      <mc:Fallback>
        <control shapeId="1150" r:id="rId64" name="Control 126"/>
      </mc:Fallback>
    </mc:AlternateContent>
    <mc:AlternateContent xmlns:mc="http://schemas.openxmlformats.org/markup-compatibility/2006">
      <mc:Choice Requires="x14">
        <control shapeId="1152" r:id="rId65" name="Control 128">
          <controlPr defaultSize="0" r:id="rId5">
            <anchor moveWithCells="1">
              <from>
                <xdr:col>6</xdr:col>
                <xdr:colOff>9525</xdr:colOff>
                <xdr:row>36</xdr:row>
                <xdr:rowOff>66675</xdr:rowOff>
              </from>
              <to>
                <xdr:col>6</xdr:col>
                <xdr:colOff>238125</xdr:colOff>
                <xdr:row>37</xdr:row>
                <xdr:rowOff>85725</xdr:rowOff>
              </to>
            </anchor>
          </controlPr>
        </control>
      </mc:Choice>
      <mc:Fallback>
        <control shapeId="1152" r:id="rId65" name="Control 128"/>
      </mc:Fallback>
    </mc:AlternateContent>
    <mc:AlternateContent xmlns:mc="http://schemas.openxmlformats.org/markup-compatibility/2006">
      <mc:Choice Requires="x14">
        <control shapeId="1154" r:id="rId66" name="Control 130">
          <controlPr defaultSize="0" r:id="rId5">
            <anchor moveWithCells="1">
              <from>
                <xdr:col>6</xdr:col>
                <xdr:colOff>9525</xdr:colOff>
                <xdr:row>37</xdr:row>
                <xdr:rowOff>66675</xdr:rowOff>
              </from>
              <to>
                <xdr:col>6</xdr:col>
                <xdr:colOff>238125</xdr:colOff>
                <xdr:row>38</xdr:row>
                <xdr:rowOff>85725</xdr:rowOff>
              </to>
            </anchor>
          </controlPr>
        </control>
      </mc:Choice>
      <mc:Fallback>
        <control shapeId="1154" r:id="rId66" name="Control 130"/>
      </mc:Fallback>
    </mc:AlternateContent>
    <mc:AlternateContent xmlns:mc="http://schemas.openxmlformats.org/markup-compatibility/2006">
      <mc:Choice Requires="x14">
        <control shapeId="1156" r:id="rId67" name="Control 132">
          <controlPr defaultSize="0" r:id="rId5">
            <anchor moveWithCells="1">
              <from>
                <xdr:col>6</xdr:col>
                <xdr:colOff>9525</xdr:colOff>
                <xdr:row>38</xdr:row>
                <xdr:rowOff>66675</xdr:rowOff>
              </from>
              <to>
                <xdr:col>6</xdr:col>
                <xdr:colOff>238125</xdr:colOff>
                <xdr:row>39</xdr:row>
                <xdr:rowOff>85725</xdr:rowOff>
              </to>
            </anchor>
          </controlPr>
        </control>
      </mc:Choice>
      <mc:Fallback>
        <control shapeId="1156" r:id="rId67" name="Control 132"/>
      </mc:Fallback>
    </mc:AlternateContent>
    <mc:AlternateContent xmlns:mc="http://schemas.openxmlformats.org/markup-compatibility/2006">
      <mc:Choice Requires="x14">
        <control shapeId="1158" r:id="rId68" name="Control 134">
          <controlPr defaultSize="0" r:id="rId5">
            <anchor moveWithCells="1">
              <from>
                <xdr:col>6</xdr:col>
                <xdr:colOff>9525</xdr:colOff>
                <xdr:row>39</xdr:row>
                <xdr:rowOff>66675</xdr:rowOff>
              </from>
              <to>
                <xdr:col>6</xdr:col>
                <xdr:colOff>238125</xdr:colOff>
                <xdr:row>40</xdr:row>
                <xdr:rowOff>85725</xdr:rowOff>
              </to>
            </anchor>
          </controlPr>
        </control>
      </mc:Choice>
      <mc:Fallback>
        <control shapeId="1158" r:id="rId68" name="Control 134"/>
      </mc:Fallback>
    </mc:AlternateContent>
    <mc:AlternateContent xmlns:mc="http://schemas.openxmlformats.org/markup-compatibility/2006">
      <mc:Choice Requires="x14">
        <control shapeId="1160" r:id="rId69" name="Control 136">
          <controlPr defaultSize="0" r:id="rId5">
            <anchor moveWithCells="1">
              <from>
                <xdr:col>6</xdr:col>
                <xdr:colOff>9525</xdr:colOff>
                <xdr:row>40</xdr:row>
                <xdr:rowOff>66675</xdr:rowOff>
              </from>
              <to>
                <xdr:col>6</xdr:col>
                <xdr:colOff>238125</xdr:colOff>
                <xdr:row>41</xdr:row>
                <xdr:rowOff>85725</xdr:rowOff>
              </to>
            </anchor>
          </controlPr>
        </control>
      </mc:Choice>
      <mc:Fallback>
        <control shapeId="1160" r:id="rId69" name="Control 136"/>
      </mc:Fallback>
    </mc:AlternateContent>
    <mc:AlternateContent xmlns:mc="http://schemas.openxmlformats.org/markup-compatibility/2006">
      <mc:Choice Requires="x14">
        <control shapeId="1163" r:id="rId70" name="Control 139">
          <controlPr defaultSize="0" r:id="rId5">
            <anchor moveWithCells="1">
              <from>
                <xdr:col>6</xdr:col>
                <xdr:colOff>9525</xdr:colOff>
                <xdr:row>42</xdr:row>
                <xdr:rowOff>66675</xdr:rowOff>
              </from>
              <to>
                <xdr:col>6</xdr:col>
                <xdr:colOff>238125</xdr:colOff>
                <xdr:row>43</xdr:row>
                <xdr:rowOff>85725</xdr:rowOff>
              </to>
            </anchor>
          </controlPr>
        </control>
      </mc:Choice>
      <mc:Fallback>
        <control shapeId="1163" r:id="rId70" name="Control 139"/>
      </mc:Fallback>
    </mc:AlternateContent>
    <mc:AlternateContent xmlns:mc="http://schemas.openxmlformats.org/markup-compatibility/2006">
      <mc:Choice Requires="x14">
        <control shapeId="1165" r:id="rId71" name="Control 141">
          <controlPr defaultSize="0" r:id="rId5">
            <anchor moveWithCells="1">
              <from>
                <xdr:col>6</xdr:col>
                <xdr:colOff>9525</xdr:colOff>
                <xdr:row>43</xdr:row>
                <xdr:rowOff>66675</xdr:rowOff>
              </from>
              <to>
                <xdr:col>6</xdr:col>
                <xdr:colOff>238125</xdr:colOff>
                <xdr:row>44</xdr:row>
                <xdr:rowOff>85725</xdr:rowOff>
              </to>
            </anchor>
          </controlPr>
        </control>
      </mc:Choice>
      <mc:Fallback>
        <control shapeId="1165" r:id="rId71" name="Control 141"/>
      </mc:Fallback>
    </mc:AlternateContent>
    <mc:AlternateContent xmlns:mc="http://schemas.openxmlformats.org/markup-compatibility/2006">
      <mc:Choice Requires="x14">
        <control shapeId="1167" r:id="rId72" name="Control 143">
          <controlPr defaultSize="0" r:id="rId5">
            <anchor moveWithCells="1">
              <from>
                <xdr:col>6</xdr:col>
                <xdr:colOff>9525</xdr:colOff>
                <xdr:row>44</xdr:row>
                <xdr:rowOff>66675</xdr:rowOff>
              </from>
              <to>
                <xdr:col>6</xdr:col>
                <xdr:colOff>238125</xdr:colOff>
                <xdr:row>45</xdr:row>
                <xdr:rowOff>85725</xdr:rowOff>
              </to>
            </anchor>
          </controlPr>
        </control>
      </mc:Choice>
      <mc:Fallback>
        <control shapeId="1167" r:id="rId72" name="Control 143"/>
      </mc:Fallback>
    </mc:AlternateContent>
    <mc:AlternateContent xmlns:mc="http://schemas.openxmlformats.org/markup-compatibility/2006">
      <mc:Choice Requires="x14">
        <control shapeId="1169" r:id="rId73" name="Control 145">
          <controlPr defaultSize="0" r:id="rId5">
            <anchor moveWithCells="1">
              <from>
                <xdr:col>6</xdr:col>
                <xdr:colOff>9525</xdr:colOff>
                <xdr:row>45</xdr:row>
                <xdr:rowOff>66675</xdr:rowOff>
              </from>
              <to>
                <xdr:col>6</xdr:col>
                <xdr:colOff>238125</xdr:colOff>
                <xdr:row>46</xdr:row>
                <xdr:rowOff>85725</xdr:rowOff>
              </to>
            </anchor>
          </controlPr>
        </control>
      </mc:Choice>
      <mc:Fallback>
        <control shapeId="1169" r:id="rId73" name="Control 145"/>
      </mc:Fallback>
    </mc:AlternateContent>
    <mc:AlternateContent xmlns:mc="http://schemas.openxmlformats.org/markup-compatibility/2006">
      <mc:Choice Requires="x14">
        <control shapeId="1171" r:id="rId74" name="Control 147">
          <controlPr defaultSize="0" r:id="rId5">
            <anchor moveWithCells="1">
              <from>
                <xdr:col>6</xdr:col>
                <xdr:colOff>9525</xdr:colOff>
                <xdr:row>46</xdr:row>
                <xdr:rowOff>66675</xdr:rowOff>
              </from>
              <to>
                <xdr:col>6</xdr:col>
                <xdr:colOff>238125</xdr:colOff>
                <xdr:row>47</xdr:row>
                <xdr:rowOff>85725</xdr:rowOff>
              </to>
            </anchor>
          </controlPr>
        </control>
      </mc:Choice>
      <mc:Fallback>
        <control shapeId="1171" r:id="rId74" name="Control 147"/>
      </mc:Fallback>
    </mc:AlternateContent>
    <mc:AlternateContent xmlns:mc="http://schemas.openxmlformats.org/markup-compatibility/2006">
      <mc:Choice Requires="x14">
        <control shapeId="1173" r:id="rId75" name="Control 149">
          <controlPr defaultSize="0" r:id="rId5">
            <anchor moveWithCells="1">
              <from>
                <xdr:col>6</xdr:col>
                <xdr:colOff>9525</xdr:colOff>
                <xdr:row>47</xdr:row>
                <xdr:rowOff>76200</xdr:rowOff>
              </from>
              <to>
                <xdr:col>6</xdr:col>
                <xdr:colOff>238125</xdr:colOff>
                <xdr:row>48</xdr:row>
                <xdr:rowOff>104775</xdr:rowOff>
              </to>
            </anchor>
          </controlPr>
        </control>
      </mc:Choice>
      <mc:Fallback>
        <control shapeId="1173" r:id="rId75" name="Control 149"/>
      </mc:Fallback>
    </mc:AlternateContent>
    <mc:AlternateContent xmlns:mc="http://schemas.openxmlformats.org/markup-compatibility/2006">
      <mc:Choice Requires="x14">
        <control shapeId="1175" r:id="rId76" name="Control 151">
          <controlPr defaultSize="0" r:id="rId5">
            <anchor moveWithCells="1">
              <from>
                <xdr:col>6</xdr:col>
                <xdr:colOff>9525</xdr:colOff>
                <xdr:row>48</xdr:row>
                <xdr:rowOff>76200</xdr:rowOff>
              </from>
              <to>
                <xdr:col>6</xdr:col>
                <xdr:colOff>238125</xdr:colOff>
                <xdr:row>49</xdr:row>
                <xdr:rowOff>104775</xdr:rowOff>
              </to>
            </anchor>
          </controlPr>
        </control>
      </mc:Choice>
      <mc:Fallback>
        <control shapeId="1175" r:id="rId76" name="Control 151"/>
      </mc:Fallback>
    </mc:AlternateContent>
    <mc:AlternateContent xmlns:mc="http://schemas.openxmlformats.org/markup-compatibility/2006">
      <mc:Choice Requires="x14">
        <control shapeId="1177" r:id="rId77" name="Control 153">
          <controlPr defaultSize="0" r:id="rId5">
            <anchor moveWithCells="1">
              <from>
                <xdr:col>6</xdr:col>
                <xdr:colOff>9525</xdr:colOff>
                <xdr:row>49</xdr:row>
                <xdr:rowOff>76200</xdr:rowOff>
              </from>
              <to>
                <xdr:col>6</xdr:col>
                <xdr:colOff>238125</xdr:colOff>
                <xdr:row>50</xdr:row>
                <xdr:rowOff>104775</xdr:rowOff>
              </to>
            </anchor>
          </controlPr>
        </control>
      </mc:Choice>
      <mc:Fallback>
        <control shapeId="1177" r:id="rId77" name="Control 153"/>
      </mc:Fallback>
    </mc:AlternateContent>
    <mc:AlternateContent xmlns:mc="http://schemas.openxmlformats.org/markup-compatibility/2006">
      <mc:Choice Requires="x14">
        <control shapeId="1179" r:id="rId78" name="Control 155">
          <controlPr defaultSize="0" r:id="rId5">
            <anchor moveWithCells="1">
              <from>
                <xdr:col>6</xdr:col>
                <xdr:colOff>9525</xdr:colOff>
                <xdr:row>50</xdr:row>
                <xdr:rowOff>85725</xdr:rowOff>
              </from>
              <to>
                <xdr:col>6</xdr:col>
                <xdr:colOff>238125</xdr:colOff>
                <xdr:row>51</xdr:row>
                <xdr:rowOff>104775</xdr:rowOff>
              </to>
            </anchor>
          </controlPr>
        </control>
      </mc:Choice>
      <mc:Fallback>
        <control shapeId="1179" r:id="rId78" name="Control 155"/>
      </mc:Fallback>
    </mc:AlternateContent>
    <mc:AlternateContent xmlns:mc="http://schemas.openxmlformats.org/markup-compatibility/2006">
      <mc:Choice Requires="x14">
        <control shapeId="1182" r:id="rId79" name="Control 158">
          <controlPr defaultSize="0" r:id="rId5">
            <anchor moveWithCells="1">
              <from>
                <xdr:col>6</xdr:col>
                <xdr:colOff>9525</xdr:colOff>
                <xdr:row>52</xdr:row>
                <xdr:rowOff>85725</xdr:rowOff>
              </from>
              <to>
                <xdr:col>6</xdr:col>
                <xdr:colOff>238125</xdr:colOff>
                <xdr:row>53</xdr:row>
                <xdr:rowOff>104775</xdr:rowOff>
              </to>
            </anchor>
          </controlPr>
        </control>
      </mc:Choice>
      <mc:Fallback>
        <control shapeId="1182" r:id="rId79" name="Control 158"/>
      </mc:Fallback>
    </mc:AlternateContent>
    <mc:AlternateContent xmlns:mc="http://schemas.openxmlformats.org/markup-compatibility/2006">
      <mc:Choice Requires="x14">
        <control shapeId="1184" r:id="rId80" name="Control 160">
          <controlPr defaultSize="0" r:id="rId5">
            <anchor moveWithCells="1">
              <from>
                <xdr:col>6</xdr:col>
                <xdr:colOff>9525</xdr:colOff>
                <xdr:row>53</xdr:row>
                <xdr:rowOff>85725</xdr:rowOff>
              </from>
              <to>
                <xdr:col>6</xdr:col>
                <xdr:colOff>238125</xdr:colOff>
                <xdr:row>54</xdr:row>
                <xdr:rowOff>104775</xdr:rowOff>
              </to>
            </anchor>
          </controlPr>
        </control>
      </mc:Choice>
      <mc:Fallback>
        <control shapeId="1184" r:id="rId80" name="Control 160"/>
      </mc:Fallback>
    </mc:AlternateContent>
    <mc:AlternateContent xmlns:mc="http://schemas.openxmlformats.org/markup-compatibility/2006">
      <mc:Choice Requires="x14">
        <control shapeId="1186" r:id="rId81" name="Control 162">
          <controlPr defaultSize="0" r:id="rId5">
            <anchor moveWithCells="1">
              <from>
                <xdr:col>6</xdr:col>
                <xdr:colOff>9525</xdr:colOff>
                <xdr:row>54</xdr:row>
                <xdr:rowOff>85725</xdr:rowOff>
              </from>
              <to>
                <xdr:col>6</xdr:col>
                <xdr:colOff>238125</xdr:colOff>
                <xdr:row>55</xdr:row>
                <xdr:rowOff>104775</xdr:rowOff>
              </to>
            </anchor>
          </controlPr>
        </control>
      </mc:Choice>
      <mc:Fallback>
        <control shapeId="1186" r:id="rId81" name="Control 162"/>
      </mc:Fallback>
    </mc:AlternateContent>
    <mc:AlternateContent xmlns:mc="http://schemas.openxmlformats.org/markup-compatibility/2006">
      <mc:Choice Requires="x14">
        <control shapeId="1188" r:id="rId82" name="Control 164">
          <controlPr defaultSize="0" r:id="rId5">
            <anchor moveWithCells="1">
              <from>
                <xdr:col>6</xdr:col>
                <xdr:colOff>9525</xdr:colOff>
                <xdr:row>55</xdr:row>
                <xdr:rowOff>85725</xdr:rowOff>
              </from>
              <to>
                <xdr:col>6</xdr:col>
                <xdr:colOff>238125</xdr:colOff>
                <xdr:row>56</xdr:row>
                <xdr:rowOff>104775</xdr:rowOff>
              </to>
            </anchor>
          </controlPr>
        </control>
      </mc:Choice>
      <mc:Fallback>
        <control shapeId="1188" r:id="rId82" name="Control 164"/>
      </mc:Fallback>
    </mc:AlternateContent>
    <mc:AlternateContent xmlns:mc="http://schemas.openxmlformats.org/markup-compatibility/2006">
      <mc:Choice Requires="x14">
        <control shapeId="1190" r:id="rId83" name="Control 166">
          <controlPr defaultSize="0" r:id="rId5">
            <anchor moveWithCells="1">
              <from>
                <xdr:col>6</xdr:col>
                <xdr:colOff>9525</xdr:colOff>
                <xdr:row>56</xdr:row>
                <xdr:rowOff>104775</xdr:rowOff>
              </from>
              <to>
                <xdr:col>6</xdr:col>
                <xdr:colOff>238125</xdr:colOff>
                <xdr:row>57</xdr:row>
                <xdr:rowOff>123825</xdr:rowOff>
              </to>
            </anchor>
          </controlPr>
        </control>
      </mc:Choice>
      <mc:Fallback>
        <control shapeId="1190" r:id="rId83" name="Control 166"/>
      </mc:Fallback>
    </mc:AlternateContent>
    <mc:AlternateContent xmlns:mc="http://schemas.openxmlformats.org/markup-compatibility/2006">
      <mc:Choice Requires="x14">
        <control shapeId="1192" r:id="rId84" name="Control 168">
          <controlPr defaultSize="0" r:id="rId5">
            <anchor moveWithCells="1">
              <from>
                <xdr:col>6</xdr:col>
                <xdr:colOff>9525</xdr:colOff>
                <xdr:row>57</xdr:row>
                <xdr:rowOff>104775</xdr:rowOff>
              </from>
              <to>
                <xdr:col>6</xdr:col>
                <xdr:colOff>238125</xdr:colOff>
                <xdr:row>58</xdr:row>
                <xdr:rowOff>123825</xdr:rowOff>
              </to>
            </anchor>
          </controlPr>
        </control>
      </mc:Choice>
      <mc:Fallback>
        <control shapeId="1192" r:id="rId84" name="Control 168"/>
      </mc:Fallback>
    </mc:AlternateContent>
    <mc:AlternateContent xmlns:mc="http://schemas.openxmlformats.org/markup-compatibility/2006">
      <mc:Choice Requires="x14">
        <control shapeId="1194" r:id="rId85" name="Control 170">
          <controlPr defaultSize="0" r:id="rId5">
            <anchor moveWithCells="1">
              <from>
                <xdr:col>6</xdr:col>
                <xdr:colOff>9525</xdr:colOff>
                <xdr:row>58</xdr:row>
                <xdr:rowOff>104775</xdr:rowOff>
              </from>
              <to>
                <xdr:col>6</xdr:col>
                <xdr:colOff>238125</xdr:colOff>
                <xdr:row>59</xdr:row>
                <xdr:rowOff>123825</xdr:rowOff>
              </to>
            </anchor>
          </controlPr>
        </control>
      </mc:Choice>
      <mc:Fallback>
        <control shapeId="1194" r:id="rId85" name="Control 170"/>
      </mc:Fallback>
    </mc:AlternateContent>
    <mc:AlternateContent xmlns:mc="http://schemas.openxmlformats.org/markup-compatibility/2006">
      <mc:Choice Requires="x14">
        <control shapeId="1196" r:id="rId86" name="Control 172">
          <controlPr defaultSize="0" r:id="rId5">
            <anchor moveWithCells="1">
              <from>
                <xdr:col>6</xdr:col>
                <xdr:colOff>9525</xdr:colOff>
                <xdr:row>59</xdr:row>
                <xdr:rowOff>104775</xdr:rowOff>
              </from>
              <to>
                <xdr:col>6</xdr:col>
                <xdr:colOff>238125</xdr:colOff>
                <xdr:row>60</xdr:row>
                <xdr:rowOff>123825</xdr:rowOff>
              </to>
            </anchor>
          </controlPr>
        </control>
      </mc:Choice>
      <mc:Fallback>
        <control shapeId="1196" r:id="rId86" name="Control 172"/>
      </mc:Fallback>
    </mc:AlternateContent>
    <mc:AlternateContent xmlns:mc="http://schemas.openxmlformats.org/markup-compatibility/2006">
      <mc:Choice Requires="x14">
        <control shapeId="1198" r:id="rId87" name="Control 174">
          <controlPr defaultSize="0" r:id="rId5">
            <anchor moveWithCells="1">
              <from>
                <xdr:col>6</xdr:col>
                <xdr:colOff>9525</xdr:colOff>
                <xdr:row>60</xdr:row>
                <xdr:rowOff>104775</xdr:rowOff>
              </from>
              <to>
                <xdr:col>6</xdr:col>
                <xdr:colOff>238125</xdr:colOff>
                <xdr:row>61</xdr:row>
                <xdr:rowOff>123825</xdr:rowOff>
              </to>
            </anchor>
          </controlPr>
        </control>
      </mc:Choice>
      <mc:Fallback>
        <control shapeId="1198" r:id="rId87" name="Control 174"/>
      </mc:Fallback>
    </mc:AlternateContent>
    <mc:AlternateContent xmlns:mc="http://schemas.openxmlformats.org/markup-compatibility/2006">
      <mc:Choice Requires="x14">
        <control shapeId="1201" r:id="rId88" name="Control 177">
          <controlPr defaultSize="0" r:id="rId5">
            <anchor moveWithCells="1">
              <from>
                <xdr:col>6</xdr:col>
                <xdr:colOff>9525</xdr:colOff>
                <xdr:row>62</xdr:row>
                <xdr:rowOff>104775</xdr:rowOff>
              </from>
              <to>
                <xdr:col>6</xdr:col>
                <xdr:colOff>238125</xdr:colOff>
                <xdr:row>63</xdr:row>
                <xdr:rowOff>123825</xdr:rowOff>
              </to>
            </anchor>
          </controlPr>
        </control>
      </mc:Choice>
      <mc:Fallback>
        <control shapeId="1201" r:id="rId88" name="Control 177"/>
      </mc:Fallback>
    </mc:AlternateContent>
    <mc:AlternateContent xmlns:mc="http://schemas.openxmlformats.org/markup-compatibility/2006">
      <mc:Choice Requires="x14">
        <control shapeId="1203" r:id="rId89" name="Control 179">
          <controlPr defaultSize="0" r:id="rId5">
            <anchor moveWithCells="1">
              <from>
                <xdr:col>6</xdr:col>
                <xdr:colOff>9525</xdr:colOff>
                <xdr:row>63</xdr:row>
                <xdr:rowOff>104775</xdr:rowOff>
              </from>
              <to>
                <xdr:col>6</xdr:col>
                <xdr:colOff>238125</xdr:colOff>
                <xdr:row>64</xdr:row>
                <xdr:rowOff>123825</xdr:rowOff>
              </to>
            </anchor>
          </controlPr>
        </control>
      </mc:Choice>
      <mc:Fallback>
        <control shapeId="1203" r:id="rId89" name="Control 179"/>
      </mc:Fallback>
    </mc:AlternateContent>
    <mc:AlternateContent xmlns:mc="http://schemas.openxmlformats.org/markup-compatibility/2006">
      <mc:Choice Requires="x14">
        <control shapeId="1205" r:id="rId90" name="Control 181">
          <controlPr defaultSize="0" r:id="rId5">
            <anchor moveWithCells="1">
              <from>
                <xdr:col>6</xdr:col>
                <xdr:colOff>9525</xdr:colOff>
                <xdr:row>64</xdr:row>
                <xdr:rowOff>104775</xdr:rowOff>
              </from>
              <to>
                <xdr:col>6</xdr:col>
                <xdr:colOff>238125</xdr:colOff>
                <xdr:row>65</xdr:row>
                <xdr:rowOff>123825</xdr:rowOff>
              </to>
            </anchor>
          </controlPr>
        </control>
      </mc:Choice>
      <mc:Fallback>
        <control shapeId="1205" r:id="rId90" name="Control 181"/>
      </mc:Fallback>
    </mc:AlternateContent>
    <mc:AlternateContent xmlns:mc="http://schemas.openxmlformats.org/markup-compatibility/2006">
      <mc:Choice Requires="x14">
        <control shapeId="1207" r:id="rId91" name="Control 183">
          <controlPr defaultSize="0" r:id="rId5">
            <anchor moveWithCells="1">
              <from>
                <xdr:col>6</xdr:col>
                <xdr:colOff>9525</xdr:colOff>
                <xdr:row>65</xdr:row>
                <xdr:rowOff>104775</xdr:rowOff>
              </from>
              <to>
                <xdr:col>6</xdr:col>
                <xdr:colOff>238125</xdr:colOff>
                <xdr:row>66</xdr:row>
                <xdr:rowOff>123825</xdr:rowOff>
              </to>
            </anchor>
          </controlPr>
        </control>
      </mc:Choice>
      <mc:Fallback>
        <control shapeId="1207" r:id="rId91" name="Control 183"/>
      </mc:Fallback>
    </mc:AlternateContent>
    <mc:AlternateContent xmlns:mc="http://schemas.openxmlformats.org/markup-compatibility/2006">
      <mc:Choice Requires="x14">
        <control shapeId="1209" r:id="rId92" name="Control 185">
          <controlPr defaultSize="0" r:id="rId5">
            <anchor moveWithCells="1">
              <from>
                <xdr:col>6</xdr:col>
                <xdr:colOff>9525</xdr:colOff>
                <xdr:row>66</xdr:row>
                <xdr:rowOff>104775</xdr:rowOff>
              </from>
              <to>
                <xdr:col>6</xdr:col>
                <xdr:colOff>238125</xdr:colOff>
                <xdr:row>67</xdr:row>
                <xdr:rowOff>123825</xdr:rowOff>
              </to>
            </anchor>
          </controlPr>
        </control>
      </mc:Choice>
      <mc:Fallback>
        <control shapeId="1209" r:id="rId92" name="Control 185"/>
      </mc:Fallback>
    </mc:AlternateContent>
    <mc:AlternateContent xmlns:mc="http://schemas.openxmlformats.org/markup-compatibility/2006">
      <mc:Choice Requires="x14">
        <control shapeId="1211" r:id="rId93" name="Control 187">
          <controlPr defaultSize="0" r:id="rId5">
            <anchor moveWithCells="1">
              <from>
                <xdr:col>6</xdr:col>
                <xdr:colOff>9525</xdr:colOff>
                <xdr:row>67</xdr:row>
                <xdr:rowOff>104775</xdr:rowOff>
              </from>
              <to>
                <xdr:col>6</xdr:col>
                <xdr:colOff>238125</xdr:colOff>
                <xdr:row>68</xdr:row>
                <xdr:rowOff>123825</xdr:rowOff>
              </to>
            </anchor>
          </controlPr>
        </control>
      </mc:Choice>
      <mc:Fallback>
        <control shapeId="1211" r:id="rId93" name="Control 187"/>
      </mc:Fallback>
    </mc:AlternateContent>
    <mc:AlternateContent xmlns:mc="http://schemas.openxmlformats.org/markup-compatibility/2006">
      <mc:Choice Requires="x14">
        <control shapeId="1213" r:id="rId94" name="Control 189">
          <controlPr defaultSize="0" r:id="rId5">
            <anchor moveWithCells="1">
              <from>
                <xdr:col>6</xdr:col>
                <xdr:colOff>9525</xdr:colOff>
                <xdr:row>68</xdr:row>
                <xdr:rowOff>104775</xdr:rowOff>
              </from>
              <to>
                <xdr:col>6</xdr:col>
                <xdr:colOff>238125</xdr:colOff>
                <xdr:row>69</xdr:row>
                <xdr:rowOff>123825</xdr:rowOff>
              </to>
            </anchor>
          </controlPr>
        </control>
      </mc:Choice>
      <mc:Fallback>
        <control shapeId="1213" r:id="rId94" name="Control 189"/>
      </mc:Fallback>
    </mc:AlternateContent>
    <mc:AlternateContent xmlns:mc="http://schemas.openxmlformats.org/markup-compatibility/2006">
      <mc:Choice Requires="x14">
        <control shapeId="1215" r:id="rId95" name="Control 191">
          <controlPr defaultSize="0" r:id="rId5">
            <anchor moveWithCells="1">
              <from>
                <xdr:col>6</xdr:col>
                <xdr:colOff>9525</xdr:colOff>
                <xdr:row>69</xdr:row>
                <xdr:rowOff>104775</xdr:rowOff>
              </from>
              <to>
                <xdr:col>6</xdr:col>
                <xdr:colOff>238125</xdr:colOff>
                <xdr:row>70</xdr:row>
                <xdr:rowOff>123825</xdr:rowOff>
              </to>
            </anchor>
          </controlPr>
        </control>
      </mc:Choice>
      <mc:Fallback>
        <control shapeId="1215" r:id="rId95" name="Control 191"/>
      </mc:Fallback>
    </mc:AlternateContent>
    <mc:AlternateContent xmlns:mc="http://schemas.openxmlformats.org/markup-compatibility/2006">
      <mc:Choice Requires="x14">
        <control shapeId="1217" r:id="rId96" name="Control 193">
          <controlPr defaultSize="0" r:id="rId5">
            <anchor moveWithCells="1">
              <from>
                <xdr:col>6</xdr:col>
                <xdr:colOff>9525</xdr:colOff>
                <xdr:row>70</xdr:row>
                <xdr:rowOff>104775</xdr:rowOff>
              </from>
              <to>
                <xdr:col>6</xdr:col>
                <xdr:colOff>238125</xdr:colOff>
                <xdr:row>71</xdr:row>
                <xdr:rowOff>123825</xdr:rowOff>
              </to>
            </anchor>
          </controlPr>
        </control>
      </mc:Choice>
      <mc:Fallback>
        <control shapeId="1217" r:id="rId96" name="Control 193"/>
      </mc:Fallback>
    </mc:AlternateContent>
    <mc:AlternateContent xmlns:mc="http://schemas.openxmlformats.org/markup-compatibility/2006">
      <mc:Choice Requires="x14">
        <control shapeId="1220" r:id="rId97" name="Control 196">
          <controlPr defaultSize="0" r:id="rId5">
            <anchor moveWithCells="1">
              <from>
                <xdr:col>6</xdr:col>
                <xdr:colOff>9525</xdr:colOff>
                <xdr:row>72</xdr:row>
                <xdr:rowOff>114300</xdr:rowOff>
              </from>
              <to>
                <xdr:col>6</xdr:col>
                <xdr:colOff>238125</xdr:colOff>
                <xdr:row>73</xdr:row>
                <xdr:rowOff>142875</xdr:rowOff>
              </to>
            </anchor>
          </controlPr>
        </control>
      </mc:Choice>
      <mc:Fallback>
        <control shapeId="1220" r:id="rId97" name="Control 196"/>
      </mc:Fallback>
    </mc:AlternateContent>
    <mc:AlternateContent xmlns:mc="http://schemas.openxmlformats.org/markup-compatibility/2006">
      <mc:Choice Requires="x14">
        <control shapeId="1222" r:id="rId98" name="Control 198">
          <controlPr defaultSize="0" r:id="rId5">
            <anchor moveWithCells="1">
              <from>
                <xdr:col>6</xdr:col>
                <xdr:colOff>9525</xdr:colOff>
                <xdr:row>73</xdr:row>
                <xdr:rowOff>114300</xdr:rowOff>
              </from>
              <to>
                <xdr:col>6</xdr:col>
                <xdr:colOff>238125</xdr:colOff>
                <xdr:row>74</xdr:row>
                <xdr:rowOff>142875</xdr:rowOff>
              </to>
            </anchor>
          </controlPr>
        </control>
      </mc:Choice>
      <mc:Fallback>
        <control shapeId="1222" r:id="rId98" name="Control 198"/>
      </mc:Fallback>
    </mc:AlternateContent>
    <mc:AlternateContent xmlns:mc="http://schemas.openxmlformats.org/markup-compatibility/2006">
      <mc:Choice Requires="x14">
        <control shapeId="1224" r:id="rId99" name="Control 200">
          <controlPr defaultSize="0" r:id="rId5">
            <anchor moveWithCells="1">
              <from>
                <xdr:col>6</xdr:col>
                <xdr:colOff>9525</xdr:colOff>
                <xdr:row>74</xdr:row>
                <xdr:rowOff>123825</xdr:rowOff>
              </from>
              <to>
                <xdr:col>6</xdr:col>
                <xdr:colOff>238125</xdr:colOff>
                <xdr:row>75</xdr:row>
                <xdr:rowOff>142875</xdr:rowOff>
              </to>
            </anchor>
          </controlPr>
        </control>
      </mc:Choice>
      <mc:Fallback>
        <control shapeId="1224" r:id="rId99" name="Control 200"/>
      </mc:Fallback>
    </mc:AlternateContent>
    <mc:AlternateContent xmlns:mc="http://schemas.openxmlformats.org/markup-compatibility/2006">
      <mc:Choice Requires="x14">
        <control shapeId="1226" r:id="rId100" name="Control 202">
          <controlPr defaultSize="0" r:id="rId5">
            <anchor moveWithCells="1">
              <from>
                <xdr:col>6</xdr:col>
                <xdr:colOff>9525</xdr:colOff>
                <xdr:row>75</xdr:row>
                <xdr:rowOff>123825</xdr:rowOff>
              </from>
              <to>
                <xdr:col>6</xdr:col>
                <xdr:colOff>238125</xdr:colOff>
                <xdr:row>76</xdr:row>
                <xdr:rowOff>142875</xdr:rowOff>
              </to>
            </anchor>
          </controlPr>
        </control>
      </mc:Choice>
      <mc:Fallback>
        <control shapeId="1226" r:id="rId100" name="Control 202"/>
      </mc:Fallback>
    </mc:AlternateContent>
    <mc:AlternateContent xmlns:mc="http://schemas.openxmlformats.org/markup-compatibility/2006">
      <mc:Choice Requires="x14">
        <control shapeId="1228" r:id="rId101" name="Control 204">
          <controlPr defaultSize="0" r:id="rId5">
            <anchor moveWithCells="1">
              <from>
                <xdr:col>6</xdr:col>
                <xdr:colOff>9525</xdr:colOff>
                <xdr:row>76</xdr:row>
                <xdr:rowOff>123825</xdr:rowOff>
              </from>
              <to>
                <xdr:col>6</xdr:col>
                <xdr:colOff>238125</xdr:colOff>
                <xdr:row>77</xdr:row>
                <xdr:rowOff>142875</xdr:rowOff>
              </to>
            </anchor>
          </controlPr>
        </control>
      </mc:Choice>
      <mc:Fallback>
        <control shapeId="1228" r:id="rId101" name="Control 204"/>
      </mc:Fallback>
    </mc:AlternateContent>
    <mc:AlternateContent xmlns:mc="http://schemas.openxmlformats.org/markup-compatibility/2006">
      <mc:Choice Requires="x14">
        <control shapeId="1230" r:id="rId102" name="Control 206">
          <controlPr defaultSize="0" r:id="rId5">
            <anchor moveWithCells="1">
              <from>
                <xdr:col>6</xdr:col>
                <xdr:colOff>9525</xdr:colOff>
                <xdr:row>77</xdr:row>
                <xdr:rowOff>123825</xdr:rowOff>
              </from>
              <to>
                <xdr:col>6</xdr:col>
                <xdr:colOff>238125</xdr:colOff>
                <xdr:row>78</xdr:row>
                <xdr:rowOff>142875</xdr:rowOff>
              </to>
            </anchor>
          </controlPr>
        </control>
      </mc:Choice>
      <mc:Fallback>
        <control shapeId="1230" r:id="rId102" name="Control 206"/>
      </mc:Fallback>
    </mc:AlternateContent>
    <mc:AlternateContent xmlns:mc="http://schemas.openxmlformats.org/markup-compatibility/2006">
      <mc:Choice Requires="x14">
        <control shapeId="1232" r:id="rId103" name="Control 208">
          <controlPr defaultSize="0" r:id="rId5">
            <anchor moveWithCells="1">
              <from>
                <xdr:col>6</xdr:col>
                <xdr:colOff>9525</xdr:colOff>
                <xdr:row>78</xdr:row>
                <xdr:rowOff>123825</xdr:rowOff>
              </from>
              <to>
                <xdr:col>6</xdr:col>
                <xdr:colOff>238125</xdr:colOff>
                <xdr:row>79</xdr:row>
                <xdr:rowOff>142875</xdr:rowOff>
              </to>
            </anchor>
          </controlPr>
        </control>
      </mc:Choice>
      <mc:Fallback>
        <control shapeId="1232" r:id="rId103" name="Control 208"/>
      </mc:Fallback>
    </mc:AlternateContent>
    <mc:AlternateContent xmlns:mc="http://schemas.openxmlformats.org/markup-compatibility/2006">
      <mc:Choice Requires="x14">
        <control shapeId="1234" r:id="rId104" name="Control 210">
          <controlPr defaultSize="0" r:id="rId5">
            <anchor moveWithCells="1">
              <from>
                <xdr:col>6</xdr:col>
                <xdr:colOff>9525</xdr:colOff>
                <xdr:row>79</xdr:row>
                <xdr:rowOff>123825</xdr:rowOff>
              </from>
              <to>
                <xdr:col>6</xdr:col>
                <xdr:colOff>238125</xdr:colOff>
                <xdr:row>80</xdr:row>
                <xdr:rowOff>142875</xdr:rowOff>
              </to>
            </anchor>
          </controlPr>
        </control>
      </mc:Choice>
      <mc:Fallback>
        <control shapeId="1234" r:id="rId104" name="Control 210"/>
      </mc:Fallback>
    </mc:AlternateContent>
    <mc:AlternateContent xmlns:mc="http://schemas.openxmlformats.org/markup-compatibility/2006">
      <mc:Choice Requires="x14">
        <control shapeId="1236" r:id="rId105" name="Control 212">
          <controlPr defaultSize="0" r:id="rId5">
            <anchor moveWithCells="1">
              <from>
                <xdr:col>6</xdr:col>
                <xdr:colOff>9525</xdr:colOff>
                <xdr:row>80</xdr:row>
                <xdr:rowOff>142875</xdr:rowOff>
              </from>
              <to>
                <xdr:col>6</xdr:col>
                <xdr:colOff>238125</xdr:colOff>
                <xdr:row>81</xdr:row>
                <xdr:rowOff>161925</xdr:rowOff>
              </to>
            </anchor>
          </controlPr>
        </control>
      </mc:Choice>
      <mc:Fallback>
        <control shapeId="1236" r:id="rId105" name="Control 212"/>
      </mc:Fallback>
    </mc:AlternateContent>
    <mc:AlternateContent xmlns:mc="http://schemas.openxmlformats.org/markup-compatibility/2006">
      <mc:Choice Requires="x14">
        <control shapeId="1239" r:id="rId106" name="Control 215">
          <controlPr defaultSize="0" r:id="rId5">
            <anchor moveWithCells="1">
              <from>
                <xdr:col>6</xdr:col>
                <xdr:colOff>9525</xdr:colOff>
                <xdr:row>82</xdr:row>
                <xdr:rowOff>142875</xdr:rowOff>
              </from>
              <to>
                <xdr:col>6</xdr:col>
                <xdr:colOff>238125</xdr:colOff>
                <xdr:row>83</xdr:row>
                <xdr:rowOff>161925</xdr:rowOff>
              </to>
            </anchor>
          </controlPr>
        </control>
      </mc:Choice>
      <mc:Fallback>
        <control shapeId="1239" r:id="rId106" name="Control 215"/>
      </mc:Fallback>
    </mc:AlternateContent>
    <mc:AlternateContent xmlns:mc="http://schemas.openxmlformats.org/markup-compatibility/2006">
      <mc:Choice Requires="x14">
        <control shapeId="1241" r:id="rId107" name="Control 217">
          <controlPr defaultSize="0" r:id="rId5">
            <anchor moveWithCells="1">
              <from>
                <xdr:col>6</xdr:col>
                <xdr:colOff>9525</xdr:colOff>
                <xdr:row>83</xdr:row>
                <xdr:rowOff>142875</xdr:rowOff>
              </from>
              <to>
                <xdr:col>6</xdr:col>
                <xdr:colOff>238125</xdr:colOff>
                <xdr:row>84</xdr:row>
                <xdr:rowOff>161925</xdr:rowOff>
              </to>
            </anchor>
          </controlPr>
        </control>
      </mc:Choice>
      <mc:Fallback>
        <control shapeId="1241" r:id="rId107" name="Control 217"/>
      </mc:Fallback>
    </mc:AlternateContent>
    <mc:AlternateContent xmlns:mc="http://schemas.openxmlformats.org/markup-compatibility/2006">
      <mc:Choice Requires="x14">
        <control shapeId="1243" r:id="rId108" name="Control 219">
          <controlPr defaultSize="0" r:id="rId5">
            <anchor moveWithCells="1">
              <from>
                <xdr:col>6</xdr:col>
                <xdr:colOff>9525</xdr:colOff>
                <xdr:row>84</xdr:row>
                <xdr:rowOff>142875</xdr:rowOff>
              </from>
              <to>
                <xdr:col>6</xdr:col>
                <xdr:colOff>238125</xdr:colOff>
                <xdr:row>85</xdr:row>
                <xdr:rowOff>161925</xdr:rowOff>
              </to>
            </anchor>
          </controlPr>
        </control>
      </mc:Choice>
      <mc:Fallback>
        <control shapeId="1243" r:id="rId108" name="Control 219"/>
      </mc:Fallback>
    </mc:AlternateContent>
    <mc:AlternateContent xmlns:mc="http://schemas.openxmlformats.org/markup-compatibility/2006">
      <mc:Choice Requires="x14">
        <control shapeId="1245" r:id="rId109" name="Control 221">
          <controlPr defaultSize="0" r:id="rId5">
            <anchor moveWithCells="1">
              <from>
                <xdr:col>6</xdr:col>
                <xdr:colOff>9525</xdr:colOff>
                <xdr:row>85</xdr:row>
                <xdr:rowOff>142875</xdr:rowOff>
              </from>
              <to>
                <xdr:col>6</xdr:col>
                <xdr:colOff>238125</xdr:colOff>
                <xdr:row>86</xdr:row>
                <xdr:rowOff>161925</xdr:rowOff>
              </to>
            </anchor>
          </controlPr>
        </control>
      </mc:Choice>
      <mc:Fallback>
        <control shapeId="1245" r:id="rId109" name="Control 221"/>
      </mc:Fallback>
    </mc:AlternateContent>
    <mc:AlternateContent xmlns:mc="http://schemas.openxmlformats.org/markup-compatibility/2006">
      <mc:Choice Requires="x14">
        <control shapeId="1247" r:id="rId110" name="Control 223">
          <controlPr defaultSize="0" r:id="rId5">
            <anchor moveWithCells="1">
              <from>
                <xdr:col>6</xdr:col>
                <xdr:colOff>9525</xdr:colOff>
                <xdr:row>86</xdr:row>
                <xdr:rowOff>142875</xdr:rowOff>
              </from>
              <to>
                <xdr:col>6</xdr:col>
                <xdr:colOff>238125</xdr:colOff>
                <xdr:row>87</xdr:row>
                <xdr:rowOff>161925</xdr:rowOff>
              </to>
            </anchor>
          </controlPr>
        </control>
      </mc:Choice>
      <mc:Fallback>
        <control shapeId="1247" r:id="rId110" name="Control 223"/>
      </mc:Fallback>
    </mc:AlternateContent>
    <mc:AlternateContent xmlns:mc="http://schemas.openxmlformats.org/markup-compatibility/2006">
      <mc:Choice Requires="x14">
        <control shapeId="1249" r:id="rId111" name="Control 225">
          <controlPr defaultSize="0" r:id="rId5">
            <anchor moveWithCells="1">
              <from>
                <xdr:col>6</xdr:col>
                <xdr:colOff>9525</xdr:colOff>
                <xdr:row>87</xdr:row>
                <xdr:rowOff>142875</xdr:rowOff>
              </from>
              <to>
                <xdr:col>6</xdr:col>
                <xdr:colOff>238125</xdr:colOff>
                <xdr:row>88</xdr:row>
                <xdr:rowOff>161925</xdr:rowOff>
              </to>
            </anchor>
          </controlPr>
        </control>
      </mc:Choice>
      <mc:Fallback>
        <control shapeId="1249" r:id="rId111" name="Control 225"/>
      </mc:Fallback>
    </mc:AlternateContent>
    <mc:AlternateContent xmlns:mc="http://schemas.openxmlformats.org/markup-compatibility/2006">
      <mc:Choice Requires="x14">
        <control shapeId="1251" r:id="rId112" name="Control 227">
          <controlPr defaultSize="0" r:id="rId5">
            <anchor moveWithCells="1">
              <from>
                <xdr:col>6</xdr:col>
                <xdr:colOff>9525</xdr:colOff>
                <xdr:row>88</xdr:row>
                <xdr:rowOff>142875</xdr:rowOff>
              </from>
              <to>
                <xdr:col>6</xdr:col>
                <xdr:colOff>238125</xdr:colOff>
                <xdr:row>89</xdr:row>
                <xdr:rowOff>161925</xdr:rowOff>
              </to>
            </anchor>
          </controlPr>
        </control>
      </mc:Choice>
      <mc:Fallback>
        <control shapeId="1251" r:id="rId112" name="Control 227"/>
      </mc:Fallback>
    </mc:AlternateContent>
    <mc:AlternateContent xmlns:mc="http://schemas.openxmlformats.org/markup-compatibility/2006">
      <mc:Choice Requires="x14">
        <control shapeId="1253" r:id="rId113" name="Control 229">
          <controlPr defaultSize="0" r:id="rId5">
            <anchor moveWithCells="1">
              <from>
                <xdr:col>6</xdr:col>
                <xdr:colOff>9525</xdr:colOff>
                <xdr:row>89</xdr:row>
                <xdr:rowOff>142875</xdr:rowOff>
              </from>
              <to>
                <xdr:col>6</xdr:col>
                <xdr:colOff>238125</xdr:colOff>
                <xdr:row>90</xdr:row>
                <xdr:rowOff>161925</xdr:rowOff>
              </to>
            </anchor>
          </controlPr>
        </control>
      </mc:Choice>
      <mc:Fallback>
        <control shapeId="1253" r:id="rId113" name="Control 229"/>
      </mc:Fallback>
    </mc:AlternateContent>
    <mc:AlternateContent xmlns:mc="http://schemas.openxmlformats.org/markup-compatibility/2006">
      <mc:Choice Requires="x14">
        <control shapeId="1255" r:id="rId114" name="Control 231">
          <controlPr defaultSize="0" r:id="rId5">
            <anchor moveWithCells="1">
              <from>
                <xdr:col>6</xdr:col>
                <xdr:colOff>9525</xdr:colOff>
                <xdr:row>90</xdr:row>
                <xdr:rowOff>142875</xdr:rowOff>
              </from>
              <to>
                <xdr:col>6</xdr:col>
                <xdr:colOff>238125</xdr:colOff>
                <xdr:row>91</xdr:row>
                <xdr:rowOff>161925</xdr:rowOff>
              </to>
            </anchor>
          </controlPr>
        </control>
      </mc:Choice>
      <mc:Fallback>
        <control shapeId="1255" r:id="rId114" name="Control 231"/>
      </mc:Fallback>
    </mc:AlternateContent>
    <mc:AlternateContent xmlns:mc="http://schemas.openxmlformats.org/markup-compatibility/2006">
      <mc:Choice Requires="x14">
        <control shapeId="1258" r:id="rId115" name="Control 234">
          <controlPr defaultSize="0" r:id="rId5">
            <anchor moveWithCells="1">
              <from>
                <xdr:col>6</xdr:col>
                <xdr:colOff>9525</xdr:colOff>
                <xdr:row>92</xdr:row>
                <xdr:rowOff>142875</xdr:rowOff>
              </from>
              <to>
                <xdr:col>6</xdr:col>
                <xdr:colOff>238125</xdr:colOff>
                <xdr:row>93</xdr:row>
                <xdr:rowOff>161925</xdr:rowOff>
              </to>
            </anchor>
          </controlPr>
        </control>
      </mc:Choice>
      <mc:Fallback>
        <control shapeId="1258" r:id="rId115" name="Control 234"/>
      </mc:Fallback>
    </mc:AlternateContent>
    <mc:AlternateContent xmlns:mc="http://schemas.openxmlformats.org/markup-compatibility/2006">
      <mc:Choice Requires="x14">
        <control shapeId="1260" r:id="rId116" name="Control 236">
          <controlPr defaultSize="0" r:id="rId5">
            <anchor moveWithCells="1">
              <from>
                <xdr:col>6</xdr:col>
                <xdr:colOff>9525</xdr:colOff>
                <xdr:row>93</xdr:row>
                <xdr:rowOff>142875</xdr:rowOff>
              </from>
              <to>
                <xdr:col>6</xdr:col>
                <xdr:colOff>238125</xdr:colOff>
                <xdr:row>94</xdr:row>
                <xdr:rowOff>161925</xdr:rowOff>
              </to>
            </anchor>
          </controlPr>
        </control>
      </mc:Choice>
      <mc:Fallback>
        <control shapeId="1260" r:id="rId116" name="Control 236"/>
      </mc:Fallback>
    </mc:AlternateContent>
    <mc:AlternateContent xmlns:mc="http://schemas.openxmlformats.org/markup-compatibility/2006">
      <mc:Choice Requires="x14">
        <control shapeId="1262" r:id="rId117" name="Control 238">
          <controlPr defaultSize="0" r:id="rId5">
            <anchor moveWithCells="1">
              <from>
                <xdr:col>6</xdr:col>
                <xdr:colOff>9525</xdr:colOff>
                <xdr:row>94</xdr:row>
                <xdr:rowOff>142875</xdr:rowOff>
              </from>
              <to>
                <xdr:col>6</xdr:col>
                <xdr:colOff>238125</xdr:colOff>
                <xdr:row>95</xdr:row>
                <xdr:rowOff>161925</xdr:rowOff>
              </to>
            </anchor>
          </controlPr>
        </control>
      </mc:Choice>
      <mc:Fallback>
        <control shapeId="1262" r:id="rId117" name="Control 238"/>
      </mc:Fallback>
    </mc:AlternateContent>
    <mc:AlternateContent xmlns:mc="http://schemas.openxmlformats.org/markup-compatibility/2006">
      <mc:Choice Requires="x14">
        <control shapeId="1264" r:id="rId118" name="Control 240">
          <controlPr defaultSize="0" r:id="rId5">
            <anchor moveWithCells="1">
              <from>
                <xdr:col>6</xdr:col>
                <xdr:colOff>9525</xdr:colOff>
                <xdr:row>95</xdr:row>
                <xdr:rowOff>152400</xdr:rowOff>
              </from>
              <to>
                <xdr:col>6</xdr:col>
                <xdr:colOff>238125</xdr:colOff>
                <xdr:row>96</xdr:row>
                <xdr:rowOff>180975</xdr:rowOff>
              </to>
            </anchor>
          </controlPr>
        </control>
      </mc:Choice>
      <mc:Fallback>
        <control shapeId="1264" r:id="rId118" name="Control 240"/>
      </mc:Fallback>
    </mc:AlternateContent>
    <mc:AlternateContent xmlns:mc="http://schemas.openxmlformats.org/markup-compatibility/2006">
      <mc:Choice Requires="x14">
        <control shapeId="1266" r:id="rId119" name="Control 242">
          <controlPr defaultSize="0" r:id="rId5">
            <anchor moveWithCells="1">
              <from>
                <xdr:col>6</xdr:col>
                <xdr:colOff>9525</xdr:colOff>
                <xdr:row>96</xdr:row>
                <xdr:rowOff>152400</xdr:rowOff>
              </from>
              <to>
                <xdr:col>6</xdr:col>
                <xdr:colOff>238125</xdr:colOff>
                <xdr:row>97</xdr:row>
                <xdr:rowOff>180975</xdr:rowOff>
              </to>
            </anchor>
          </controlPr>
        </control>
      </mc:Choice>
      <mc:Fallback>
        <control shapeId="1266" r:id="rId119" name="Control 242"/>
      </mc:Fallback>
    </mc:AlternateContent>
    <mc:AlternateContent xmlns:mc="http://schemas.openxmlformats.org/markup-compatibility/2006">
      <mc:Choice Requires="x14">
        <control shapeId="1268" r:id="rId120" name="Control 244">
          <controlPr defaultSize="0" r:id="rId5">
            <anchor moveWithCells="1">
              <from>
                <xdr:col>6</xdr:col>
                <xdr:colOff>9525</xdr:colOff>
                <xdr:row>97</xdr:row>
                <xdr:rowOff>152400</xdr:rowOff>
              </from>
              <to>
                <xdr:col>6</xdr:col>
                <xdr:colOff>238125</xdr:colOff>
                <xdr:row>98</xdr:row>
                <xdr:rowOff>180975</xdr:rowOff>
              </to>
            </anchor>
          </controlPr>
        </control>
      </mc:Choice>
      <mc:Fallback>
        <control shapeId="1268" r:id="rId120" name="Control 244"/>
      </mc:Fallback>
    </mc:AlternateContent>
    <mc:AlternateContent xmlns:mc="http://schemas.openxmlformats.org/markup-compatibility/2006">
      <mc:Choice Requires="x14">
        <control shapeId="1270" r:id="rId121" name="Control 246">
          <controlPr defaultSize="0" r:id="rId5">
            <anchor moveWithCells="1">
              <from>
                <xdr:col>6</xdr:col>
                <xdr:colOff>9525</xdr:colOff>
                <xdr:row>98</xdr:row>
                <xdr:rowOff>161925</xdr:rowOff>
              </from>
              <to>
                <xdr:col>6</xdr:col>
                <xdr:colOff>238125</xdr:colOff>
                <xdr:row>99</xdr:row>
                <xdr:rowOff>180975</xdr:rowOff>
              </to>
            </anchor>
          </controlPr>
        </control>
      </mc:Choice>
      <mc:Fallback>
        <control shapeId="1270" r:id="rId121" name="Control 246"/>
      </mc:Fallback>
    </mc:AlternateContent>
    <mc:AlternateContent xmlns:mc="http://schemas.openxmlformats.org/markup-compatibility/2006">
      <mc:Choice Requires="x14">
        <control shapeId="1272" r:id="rId122" name="Control 248">
          <controlPr defaultSize="0" r:id="rId5">
            <anchor moveWithCells="1">
              <from>
                <xdr:col>6</xdr:col>
                <xdr:colOff>9525</xdr:colOff>
                <xdr:row>99</xdr:row>
                <xdr:rowOff>161925</xdr:rowOff>
              </from>
              <to>
                <xdr:col>6</xdr:col>
                <xdr:colOff>238125</xdr:colOff>
                <xdr:row>100</xdr:row>
                <xdr:rowOff>180975</xdr:rowOff>
              </to>
            </anchor>
          </controlPr>
        </control>
      </mc:Choice>
      <mc:Fallback>
        <control shapeId="1272" r:id="rId122" name="Control 248"/>
      </mc:Fallback>
    </mc:AlternateContent>
    <mc:AlternateContent xmlns:mc="http://schemas.openxmlformats.org/markup-compatibility/2006">
      <mc:Choice Requires="x14">
        <control shapeId="1274" r:id="rId123" name="Control 250">
          <controlPr defaultSize="0" r:id="rId5">
            <anchor moveWithCells="1">
              <from>
                <xdr:col>6</xdr:col>
                <xdr:colOff>9525</xdr:colOff>
                <xdr:row>100</xdr:row>
                <xdr:rowOff>161925</xdr:rowOff>
              </from>
              <to>
                <xdr:col>6</xdr:col>
                <xdr:colOff>238125</xdr:colOff>
                <xdr:row>101</xdr:row>
                <xdr:rowOff>180975</xdr:rowOff>
              </to>
            </anchor>
          </controlPr>
        </control>
      </mc:Choice>
      <mc:Fallback>
        <control shapeId="1274" r:id="rId123" name="Control 250"/>
      </mc:Fallback>
    </mc:AlternateContent>
    <mc:AlternateContent xmlns:mc="http://schemas.openxmlformats.org/markup-compatibility/2006">
      <mc:Choice Requires="x14">
        <control shapeId="1277" r:id="rId124" name="Control 253">
          <controlPr defaultSize="0" r:id="rId5">
            <anchor moveWithCells="1">
              <from>
                <xdr:col>6</xdr:col>
                <xdr:colOff>9525</xdr:colOff>
                <xdr:row>102</xdr:row>
                <xdr:rowOff>161925</xdr:rowOff>
              </from>
              <to>
                <xdr:col>6</xdr:col>
                <xdr:colOff>238125</xdr:colOff>
                <xdr:row>103</xdr:row>
                <xdr:rowOff>180975</xdr:rowOff>
              </to>
            </anchor>
          </controlPr>
        </control>
      </mc:Choice>
      <mc:Fallback>
        <control shapeId="1277" r:id="rId124" name="Control 253"/>
      </mc:Fallback>
    </mc:AlternateContent>
    <mc:AlternateContent xmlns:mc="http://schemas.openxmlformats.org/markup-compatibility/2006">
      <mc:Choice Requires="x14">
        <control shapeId="1279" r:id="rId125" name="Control 255">
          <controlPr defaultSize="0" r:id="rId5">
            <anchor moveWithCells="1">
              <from>
                <xdr:col>6</xdr:col>
                <xdr:colOff>9525</xdr:colOff>
                <xdr:row>103</xdr:row>
                <xdr:rowOff>161925</xdr:rowOff>
              </from>
              <to>
                <xdr:col>6</xdr:col>
                <xdr:colOff>238125</xdr:colOff>
                <xdr:row>104</xdr:row>
                <xdr:rowOff>180975</xdr:rowOff>
              </to>
            </anchor>
          </controlPr>
        </control>
      </mc:Choice>
      <mc:Fallback>
        <control shapeId="1279" r:id="rId125" name="Control 255"/>
      </mc:Fallback>
    </mc:AlternateContent>
    <mc:AlternateContent xmlns:mc="http://schemas.openxmlformats.org/markup-compatibility/2006">
      <mc:Choice Requires="x14">
        <control shapeId="1281" r:id="rId126" name="Control 257">
          <controlPr defaultSize="0" r:id="rId5">
            <anchor moveWithCells="1">
              <from>
                <xdr:col>6</xdr:col>
                <xdr:colOff>9525</xdr:colOff>
                <xdr:row>104</xdr:row>
                <xdr:rowOff>180975</xdr:rowOff>
              </from>
              <to>
                <xdr:col>6</xdr:col>
                <xdr:colOff>238125</xdr:colOff>
                <xdr:row>106</xdr:row>
                <xdr:rowOff>9525</xdr:rowOff>
              </to>
            </anchor>
          </controlPr>
        </control>
      </mc:Choice>
      <mc:Fallback>
        <control shapeId="1281" r:id="rId126" name="Control 257"/>
      </mc:Fallback>
    </mc:AlternateContent>
    <mc:AlternateContent xmlns:mc="http://schemas.openxmlformats.org/markup-compatibility/2006">
      <mc:Choice Requires="x14">
        <control shapeId="1283" r:id="rId127" name="Control 259">
          <controlPr defaultSize="0" r:id="rId5">
            <anchor moveWithCells="1">
              <from>
                <xdr:col>6</xdr:col>
                <xdr:colOff>9525</xdr:colOff>
                <xdr:row>105</xdr:row>
                <xdr:rowOff>180975</xdr:rowOff>
              </from>
              <to>
                <xdr:col>6</xdr:col>
                <xdr:colOff>238125</xdr:colOff>
                <xdr:row>107</xdr:row>
                <xdr:rowOff>9525</xdr:rowOff>
              </to>
            </anchor>
          </controlPr>
        </control>
      </mc:Choice>
      <mc:Fallback>
        <control shapeId="1283" r:id="rId127" name="Control 259"/>
      </mc:Fallback>
    </mc:AlternateContent>
    <mc:AlternateContent xmlns:mc="http://schemas.openxmlformats.org/markup-compatibility/2006">
      <mc:Choice Requires="x14">
        <control shapeId="1285" r:id="rId128" name="Control 261">
          <controlPr defaultSize="0" r:id="rId5">
            <anchor moveWithCells="1">
              <from>
                <xdr:col>6</xdr:col>
                <xdr:colOff>9525</xdr:colOff>
                <xdr:row>106</xdr:row>
                <xdr:rowOff>180975</xdr:rowOff>
              </from>
              <to>
                <xdr:col>6</xdr:col>
                <xdr:colOff>238125</xdr:colOff>
                <xdr:row>108</xdr:row>
                <xdr:rowOff>9525</xdr:rowOff>
              </to>
            </anchor>
          </controlPr>
        </control>
      </mc:Choice>
      <mc:Fallback>
        <control shapeId="1285" r:id="rId128" name="Control 261"/>
      </mc:Fallback>
    </mc:AlternateContent>
    <mc:AlternateContent xmlns:mc="http://schemas.openxmlformats.org/markup-compatibility/2006">
      <mc:Choice Requires="x14">
        <control shapeId="1287" r:id="rId129" name="Control 263">
          <controlPr defaultSize="0" r:id="rId5">
            <anchor moveWithCells="1">
              <from>
                <xdr:col>6</xdr:col>
                <xdr:colOff>9525</xdr:colOff>
                <xdr:row>107</xdr:row>
                <xdr:rowOff>180975</xdr:rowOff>
              </from>
              <to>
                <xdr:col>6</xdr:col>
                <xdr:colOff>238125</xdr:colOff>
                <xdr:row>109</xdr:row>
                <xdr:rowOff>9525</xdr:rowOff>
              </to>
            </anchor>
          </controlPr>
        </control>
      </mc:Choice>
      <mc:Fallback>
        <control shapeId="1287" r:id="rId129" name="Control 263"/>
      </mc:Fallback>
    </mc:AlternateContent>
    <mc:AlternateContent xmlns:mc="http://schemas.openxmlformats.org/markup-compatibility/2006">
      <mc:Choice Requires="x14">
        <control shapeId="1289" r:id="rId130" name="Control 265">
          <controlPr defaultSize="0" r:id="rId5">
            <anchor moveWithCells="1">
              <from>
                <xdr:col>6</xdr:col>
                <xdr:colOff>9525</xdr:colOff>
                <xdr:row>108</xdr:row>
                <xdr:rowOff>180975</xdr:rowOff>
              </from>
              <to>
                <xdr:col>6</xdr:col>
                <xdr:colOff>238125</xdr:colOff>
                <xdr:row>110</xdr:row>
                <xdr:rowOff>9525</xdr:rowOff>
              </to>
            </anchor>
          </controlPr>
        </control>
      </mc:Choice>
      <mc:Fallback>
        <control shapeId="1289" r:id="rId130" name="Control 265"/>
      </mc:Fallback>
    </mc:AlternateContent>
    <mc:AlternateContent xmlns:mc="http://schemas.openxmlformats.org/markup-compatibility/2006">
      <mc:Choice Requires="x14">
        <control shapeId="1291" r:id="rId131" name="Control 267">
          <controlPr defaultSize="0" r:id="rId5">
            <anchor moveWithCells="1">
              <from>
                <xdr:col>6</xdr:col>
                <xdr:colOff>9525</xdr:colOff>
                <xdr:row>109</xdr:row>
                <xdr:rowOff>180975</xdr:rowOff>
              </from>
              <to>
                <xdr:col>6</xdr:col>
                <xdr:colOff>238125</xdr:colOff>
                <xdr:row>111</xdr:row>
                <xdr:rowOff>9525</xdr:rowOff>
              </to>
            </anchor>
          </controlPr>
        </control>
      </mc:Choice>
      <mc:Fallback>
        <control shapeId="1291" r:id="rId131" name="Control 267"/>
      </mc:Fallback>
    </mc:AlternateContent>
    <mc:AlternateContent xmlns:mc="http://schemas.openxmlformats.org/markup-compatibility/2006">
      <mc:Choice Requires="x14">
        <control shapeId="1293" r:id="rId132" name="Control 269">
          <controlPr defaultSize="0" r:id="rId5">
            <anchor moveWithCells="1">
              <from>
                <xdr:col>6</xdr:col>
                <xdr:colOff>9525</xdr:colOff>
                <xdr:row>110</xdr:row>
                <xdr:rowOff>180975</xdr:rowOff>
              </from>
              <to>
                <xdr:col>6</xdr:col>
                <xdr:colOff>238125</xdr:colOff>
                <xdr:row>112</xdr:row>
                <xdr:rowOff>9525</xdr:rowOff>
              </to>
            </anchor>
          </controlPr>
        </control>
      </mc:Choice>
      <mc:Fallback>
        <control shapeId="1293" r:id="rId132" name="Control 269"/>
      </mc:Fallback>
    </mc:AlternateContent>
    <mc:AlternateContent xmlns:mc="http://schemas.openxmlformats.org/markup-compatibility/2006">
      <mc:Choice Requires="x14">
        <control shapeId="1296" r:id="rId133" name="Control 272">
          <controlPr defaultSize="0" r:id="rId5">
            <anchor moveWithCells="1">
              <from>
                <xdr:col>6</xdr:col>
                <xdr:colOff>9525</xdr:colOff>
                <xdr:row>112</xdr:row>
                <xdr:rowOff>180975</xdr:rowOff>
              </from>
              <to>
                <xdr:col>6</xdr:col>
                <xdr:colOff>238125</xdr:colOff>
                <xdr:row>114</xdr:row>
                <xdr:rowOff>9525</xdr:rowOff>
              </to>
            </anchor>
          </controlPr>
        </control>
      </mc:Choice>
      <mc:Fallback>
        <control shapeId="1296" r:id="rId133" name="Control 272"/>
      </mc:Fallback>
    </mc:AlternateContent>
    <mc:AlternateContent xmlns:mc="http://schemas.openxmlformats.org/markup-compatibility/2006">
      <mc:Choice Requires="x14">
        <control shapeId="1298" r:id="rId134" name="Control 274">
          <controlPr defaultSize="0" r:id="rId5">
            <anchor moveWithCells="1">
              <from>
                <xdr:col>6</xdr:col>
                <xdr:colOff>9525</xdr:colOff>
                <xdr:row>113</xdr:row>
                <xdr:rowOff>180975</xdr:rowOff>
              </from>
              <to>
                <xdr:col>6</xdr:col>
                <xdr:colOff>238125</xdr:colOff>
                <xdr:row>115</xdr:row>
                <xdr:rowOff>9525</xdr:rowOff>
              </to>
            </anchor>
          </controlPr>
        </control>
      </mc:Choice>
      <mc:Fallback>
        <control shapeId="1298" r:id="rId134" name="Control 274"/>
      </mc:Fallback>
    </mc:AlternateContent>
    <mc:AlternateContent xmlns:mc="http://schemas.openxmlformats.org/markup-compatibility/2006">
      <mc:Choice Requires="x14">
        <control shapeId="1300" r:id="rId135" name="Control 276">
          <controlPr defaultSize="0" r:id="rId5">
            <anchor moveWithCells="1">
              <from>
                <xdr:col>6</xdr:col>
                <xdr:colOff>9525</xdr:colOff>
                <xdr:row>114</xdr:row>
                <xdr:rowOff>180975</xdr:rowOff>
              </from>
              <to>
                <xdr:col>6</xdr:col>
                <xdr:colOff>238125</xdr:colOff>
                <xdr:row>116</xdr:row>
                <xdr:rowOff>9525</xdr:rowOff>
              </to>
            </anchor>
          </controlPr>
        </control>
      </mc:Choice>
      <mc:Fallback>
        <control shapeId="1300" r:id="rId135" name="Control 276"/>
      </mc:Fallback>
    </mc:AlternateContent>
    <mc:AlternateContent xmlns:mc="http://schemas.openxmlformats.org/markup-compatibility/2006">
      <mc:Choice Requires="x14">
        <control shapeId="1302" r:id="rId136" name="Control 278">
          <controlPr defaultSize="0" r:id="rId5">
            <anchor moveWithCells="1">
              <from>
                <xdr:col>6</xdr:col>
                <xdr:colOff>9525</xdr:colOff>
                <xdr:row>115</xdr:row>
                <xdr:rowOff>180975</xdr:rowOff>
              </from>
              <to>
                <xdr:col>6</xdr:col>
                <xdr:colOff>238125</xdr:colOff>
                <xdr:row>117</xdr:row>
                <xdr:rowOff>9525</xdr:rowOff>
              </to>
            </anchor>
          </controlPr>
        </control>
      </mc:Choice>
      <mc:Fallback>
        <control shapeId="1302" r:id="rId136" name="Control 278"/>
      </mc:Fallback>
    </mc:AlternateContent>
    <mc:AlternateContent xmlns:mc="http://schemas.openxmlformats.org/markup-compatibility/2006">
      <mc:Choice Requires="x14">
        <control shapeId="1304" r:id="rId137" name="Control 280">
          <controlPr defaultSize="0" r:id="rId5">
            <anchor moveWithCells="1">
              <from>
                <xdr:col>6</xdr:col>
                <xdr:colOff>9525</xdr:colOff>
                <xdr:row>117</xdr:row>
                <xdr:rowOff>0</xdr:rowOff>
              </from>
              <to>
                <xdr:col>6</xdr:col>
                <xdr:colOff>238125</xdr:colOff>
                <xdr:row>118</xdr:row>
                <xdr:rowOff>28575</xdr:rowOff>
              </to>
            </anchor>
          </controlPr>
        </control>
      </mc:Choice>
      <mc:Fallback>
        <control shapeId="1304" r:id="rId137" name="Control 280"/>
      </mc:Fallback>
    </mc:AlternateContent>
    <mc:AlternateContent xmlns:mc="http://schemas.openxmlformats.org/markup-compatibility/2006">
      <mc:Choice Requires="x14">
        <control shapeId="1306" r:id="rId138" name="Control 282">
          <controlPr defaultSize="0" r:id="rId5">
            <anchor moveWithCells="1">
              <from>
                <xdr:col>6</xdr:col>
                <xdr:colOff>9525</xdr:colOff>
                <xdr:row>118</xdr:row>
                <xdr:rowOff>0</xdr:rowOff>
              </from>
              <to>
                <xdr:col>6</xdr:col>
                <xdr:colOff>238125</xdr:colOff>
                <xdr:row>119</xdr:row>
                <xdr:rowOff>28575</xdr:rowOff>
              </to>
            </anchor>
          </controlPr>
        </control>
      </mc:Choice>
      <mc:Fallback>
        <control shapeId="1306" r:id="rId138" name="Control 282"/>
      </mc:Fallback>
    </mc:AlternateContent>
    <mc:AlternateContent xmlns:mc="http://schemas.openxmlformats.org/markup-compatibility/2006">
      <mc:Choice Requires="x14">
        <control shapeId="1308" r:id="rId139" name="Control 284">
          <controlPr defaultSize="0" r:id="rId5">
            <anchor moveWithCells="1">
              <from>
                <xdr:col>6</xdr:col>
                <xdr:colOff>9525</xdr:colOff>
                <xdr:row>119</xdr:row>
                <xdr:rowOff>9525</xdr:rowOff>
              </from>
              <to>
                <xdr:col>6</xdr:col>
                <xdr:colOff>238125</xdr:colOff>
                <xdr:row>120</xdr:row>
                <xdr:rowOff>28575</xdr:rowOff>
              </to>
            </anchor>
          </controlPr>
        </control>
      </mc:Choice>
      <mc:Fallback>
        <control shapeId="1308" r:id="rId139" name="Control 284"/>
      </mc:Fallback>
    </mc:AlternateContent>
    <mc:AlternateContent xmlns:mc="http://schemas.openxmlformats.org/markup-compatibility/2006">
      <mc:Choice Requires="x14">
        <control shapeId="1310" r:id="rId140" name="Control 286">
          <controlPr defaultSize="0" r:id="rId5">
            <anchor moveWithCells="1">
              <from>
                <xdr:col>6</xdr:col>
                <xdr:colOff>9525</xdr:colOff>
                <xdr:row>120</xdr:row>
                <xdr:rowOff>9525</xdr:rowOff>
              </from>
              <to>
                <xdr:col>6</xdr:col>
                <xdr:colOff>238125</xdr:colOff>
                <xdr:row>121</xdr:row>
                <xdr:rowOff>28575</xdr:rowOff>
              </to>
            </anchor>
          </controlPr>
        </control>
      </mc:Choice>
      <mc:Fallback>
        <control shapeId="1310" r:id="rId140" name="Control 286"/>
      </mc:Fallback>
    </mc:AlternateContent>
    <mc:AlternateContent xmlns:mc="http://schemas.openxmlformats.org/markup-compatibility/2006">
      <mc:Choice Requires="x14">
        <control shapeId="1312" r:id="rId141" name="Control 288">
          <controlPr defaultSize="0" r:id="rId142">
            <anchor moveWithCells="1">
              <from>
                <xdr:col>6</xdr:col>
                <xdr:colOff>9525</xdr:colOff>
                <xdr:row>121</xdr:row>
                <xdr:rowOff>9525</xdr:rowOff>
              </from>
              <to>
                <xdr:col>6</xdr:col>
                <xdr:colOff>238125</xdr:colOff>
                <xdr:row>122</xdr:row>
                <xdr:rowOff>66675</xdr:rowOff>
              </to>
            </anchor>
          </controlPr>
        </control>
      </mc:Choice>
      <mc:Fallback>
        <control shapeId="1312" r:id="rId141" name="Control 288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832D173F5BF440BAB7138E9B592CF2" ma:contentTypeVersion="18" ma:contentTypeDescription="Create a new document." ma:contentTypeScope="" ma:versionID="08f09712208b25414deab569d8ff2baf">
  <xsd:schema xmlns:xsd="http://www.w3.org/2001/XMLSchema" xmlns:xs="http://www.w3.org/2001/XMLSchema" xmlns:p="http://schemas.microsoft.com/office/2006/metadata/properties" xmlns:ns1="http://schemas.microsoft.com/sharepoint/v3" xmlns:ns2="7fa28d77-0313-4fab-88c5-b7e62a63de1f" xmlns:ns3="04391abf-e394-4d2d-af4a-680d1cb90f05" targetNamespace="http://schemas.microsoft.com/office/2006/metadata/properties" ma:root="true" ma:fieldsID="67bc9efd5f6f96517e36ce18ef3e5f33" ns1:_="" ns2:_="" ns3:_="">
    <xsd:import namespace="http://schemas.microsoft.com/sharepoint/v3"/>
    <xsd:import namespace="7fa28d77-0313-4fab-88c5-b7e62a63de1f"/>
    <xsd:import namespace="04391abf-e394-4d2d-af4a-680d1cb90f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28d77-0313-4fab-88c5-b7e62a63de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eecfcf-0331-4043-8a88-26d66d5d7c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391abf-e394-4d2d-af4a-680d1cb90f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32d6970-c005-43a8-bc31-34706ceb1abd}" ma:internalName="TaxCatchAll" ma:showField="CatchAllData" ma:web="04391abf-e394-4d2d-af4a-680d1cb90f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a28d77-0313-4fab-88c5-b7e62a63de1f">
      <Terms xmlns="http://schemas.microsoft.com/office/infopath/2007/PartnerControls"/>
    </lcf76f155ced4ddcb4097134ff3c332f>
    <TaxCatchAll xmlns="04391abf-e394-4d2d-af4a-680d1cb90f05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B376C4-FEE0-4490-A3C6-47ADD357B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a28d77-0313-4fab-88c5-b7e62a63de1f"/>
    <ds:schemaRef ds:uri="04391abf-e394-4d2d-af4a-680d1cb90f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736371-0CCB-4F3D-AAA1-C086788E2256}">
  <ds:schemaRefs>
    <ds:schemaRef ds:uri="http://schemas.microsoft.com/office/2006/metadata/properties"/>
    <ds:schemaRef ds:uri="http://schemas.microsoft.com/office/infopath/2007/PartnerControls"/>
    <ds:schemaRef ds:uri="7fa28d77-0313-4fab-88c5-b7e62a63de1f"/>
    <ds:schemaRef ds:uri="04391abf-e394-4d2d-af4a-680d1cb90f05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7B3A693B-102C-48F8-BB8E-E2E95529CD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Director &amp; ED</vt:lpstr>
      <vt:lpstr>Director &amp; ED Jan 2026</vt:lpstr>
      <vt:lpstr>Director &amp; ED Sep.25</vt:lpstr>
      <vt:lpstr>Old </vt:lpstr>
      <vt:lpstr>Action</vt:lpstr>
      <vt:lpstr>Sheet2</vt:lpstr>
      <vt:lpstr>Cost Center - System</vt:lpstr>
      <vt:lpstr>Cost Sentre -ADERP updated</vt:lpstr>
      <vt:lpstr>FBP</vt:lpstr>
      <vt:lpstr>Cost Sentre -ADERP  09 Dec.</vt:lpstr>
      <vt:lpstr>FBP-to be share  </vt:lpstr>
      <vt:lpstr>Sheet1</vt:lpstr>
      <vt:lpstr>Sheet3</vt:lpstr>
      <vt:lpstr>Cost Centers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 Sekhar</dc:creator>
  <cp:keywords/>
  <dc:description/>
  <cp:lastModifiedBy>Hany Ghareb</cp:lastModifiedBy>
  <cp:revision/>
  <dcterms:created xsi:type="dcterms:W3CDTF">2017-05-22T05:12:10Z</dcterms:created>
  <dcterms:modified xsi:type="dcterms:W3CDTF">2026-07-30T09:03:39Z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0x01010066832D173F5BF440BAB7138E9B592CF2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