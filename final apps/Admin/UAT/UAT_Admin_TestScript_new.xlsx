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laude\DCT-task-management\DCT-Task-Management\final apps\Admin\UAT\"/>
    </mc:Choice>
  </mc:AlternateContent>
  <xr:revisionPtr revIDLastSave="0" documentId="13_ncr:1_{B1C7EFF7-7481-4BEB-A8E5-93F2F9D24AEC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Instructions" sheetId="1" r:id="rId1"/>
    <sheet name="Login &amp; Session" sheetId="2" r:id="rId2"/>
    <sheet name="Dashboard" sheetId="3" r:id="rId3"/>
    <sheet name="My Workspace" sheetId="4" r:id="rId4"/>
    <sheet name="User Management" sheetId="5" r:id="rId5"/>
    <sheet name="Roles &amp; Permissions" sheetId="6" r:id="rId6"/>
    <sheet name="Organisation" sheetId="7" r:id="rId7"/>
    <sheet name="System Administration" sheetId="8" r:id="rId8"/>
    <sheet name="Shell &amp; Platform" sheetId="9" r:id="rId9"/>
  </sheets>
  <definedNames>
    <definedName name="_xlnm._FilterDatabase" localSheetId="2" hidden="1">Dashboard!$A$1:$I$5</definedName>
    <definedName name="_xlnm._FilterDatabase" localSheetId="1" hidden="1">'Login &amp; Session'!$A$1:$I$8</definedName>
    <definedName name="_xlnm._FilterDatabase" localSheetId="3" hidden="1">'My Workspace'!$A$1:$I$13</definedName>
    <definedName name="_xlnm._FilterDatabase" localSheetId="6" hidden="1">Organisation!$A$1:$I$4</definedName>
    <definedName name="_xlnm._FilterDatabase" localSheetId="5" hidden="1">'Roles &amp; Permissions'!$A$1:$I$6</definedName>
    <definedName name="_xlnm._FilterDatabase" localSheetId="8" hidden="1">'Shell &amp; Platform'!$A$1:$I$7</definedName>
    <definedName name="_xlnm._FilterDatabase" localSheetId="7" hidden="1">'System Administration'!$A$1:$I$10</definedName>
    <definedName name="_xlnm._FilterDatabase" localSheetId="4" hidden="1">'User Management'!$A$1:$I$9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8" i="2"/>
  <c r="H7" i="2"/>
  <c r="H6" i="2"/>
  <c r="H5" i="2"/>
  <c r="H4" i="2"/>
  <c r="H3" i="2"/>
  <c r="H2" i="2"/>
  <c r="C41" i="1" l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D41" i="1" l="1"/>
  <c r="E41" i="1"/>
  <c r="F41" i="1"/>
</calcChain>
</file>

<file path=xl/sharedStrings.xml><?xml version="1.0" encoding="utf-8"?>
<sst xmlns="http://schemas.openxmlformats.org/spreadsheetml/2006/main" count="505" uniqueCount="333">
  <si>
    <t>i-Finance UAT Script</t>
  </si>
  <si>
    <t>Admin (App 200) — Identity, Users, Roles, Platform Administration</t>
  </si>
  <si>
    <t>Environment URL</t>
  </si>
  <si>
    <t>(fill in: e.g. http://localhost:8080 or the deployed URL)</t>
  </si>
  <si>
    <t>Build / version date</t>
  </si>
  <si>
    <t>2026-06-11</t>
  </si>
  <si>
    <t>UAT round</t>
  </si>
  <si>
    <t>Lead tester</t>
  </si>
  <si>
    <t>Start date</t>
  </si>
  <si>
    <t>End date</t>
  </si>
  <si>
    <t>How to test</t>
  </si>
  <si>
    <t>1. Each tab is one functional area. Work top-to-bottom; one row = one test case.</t>
  </si>
  <si>
    <t>2. Follow the Steps column exactly; compare the outcome with Expected Result.</t>
  </si>
  <si>
    <t>3. Set Status from the dropdown: Pass / Fail / Blocked / N/A.</t>
  </si>
  <si>
    <t>4. On Fail or Blocked, ALWAYS fill Comments (what happened, screenshots reference, error text).</t>
  </si>
  <si>
    <t>5. Fill Tested By + Test Date on every executed row.</t>
  </si>
  <si>
    <t>6. Login accounts: use the quick-login buttons on the login page, or accounts provided by the admin. Never write passwords in this file.</t>
  </si>
  <si>
    <t>7. Hard-refresh (Ctrl+F5) after the team deploys a fix before retesting.</t>
  </si>
  <si>
    <t>Status legend</t>
  </si>
  <si>
    <t>Pass</t>
  </si>
  <si>
    <t>Works exactly as the Expected Result describes</t>
  </si>
  <si>
    <t>Fail</t>
  </si>
  <si>
    <t>Does not match the Expected Result (describe in Comments)</t>
  </si>
  <si>
    <t>Blocked</t>
  </si>
  <si>
    <t>Cannot be executed (missing data/role/dependency failed)</t>
  </si>
  <si>
    <t>N/A</t>
  </si>
  <si>
    <t>Not applicable to this round/role</t>
  </si>
  <si>
    <t>Seeded UAT data (your starting point)</t>
  </si>
  <si>
    <t>- 6 test accounts exist matching the quick-login buttons: ADMIN (SYS_ADMIN), HASHEM.ALKABBI (Director/approver), NASER.ALKHAJA, AYESHA.AMERI, SHAIKHA.GALAMERI, SHAIKHA.ALSUWAIDI (managers).</t>
  </si>
  <si>
    <t>- Module roles: AYESHA = Petty Cash admin/approver, HASHEM = DT approver, NASER = DT finance, SHAIKHA.GALAMERI = HR manager, SHAIKHA.ALSUWAIDI = HR viewer.</t>
  </si>
  <si>
    <t>Live summary</t>
  </si>
  <si>
    <t>Functional area</t>
  </si>
  <si>
    <t>Cases</t>
  </si>
  <si>
    <t>Executed %</t>
  </si>
  <si>
    <t>Login &amp; Session</t>
  </si>
  <si>
    <t>Dashboard</t>
  </si>
  <si>
    <t>My Workspace</t>
  </si>
  <si>
    <t>User Management</t>
  </si>
  <si>
    <t>Roles &amp; Permissions</t>
  </si>
  <si>
    <t>Organisation</t>
  </si>
  <si>
    <t>System Administration</t>
  </si>
  <si>
    <t>Shell &amp; Platform</t>
  </si>
  <si>
    <t>TOTAL</t>
  </si>
  <si>
    <t>Test ID</t>
  </si>
  <si>
    <t>Function</t>
  </si>
  <si>
    <t>Test Scenario</t>
  </si>
  <si>
    <t>Steps</t>
  </si>
  <si>
    <t>Expected Result</t>
  </si>
  <si>
    <t>Status</t>
  </si>
  <si>
    <t>Tested By</t>
  </si>
  <si>
    <t>Test Date</t>
  </si>
  <si>
    <t>Comments / Defect Ref</t>
  </si>
  <si>
    <t>ADMIN-LOG-01</t>
  </si>
  <si>
    <t>Login</t>
  </si>
  <si>
    <t>Valid login</t>
  </si>
  <si>
    <t>1. Open the app URL
2. Enter a valid username + password (or use a quick-login button)
3. Click Sign In</t>
  </si>
  <si>
    <t>Dashboard opens; top bar shows your name and avatar initials; side navigation matches your role</t>
  </si>
  <si>
    <t>ADMIN-LOG-02</t>
  </si>
  <si>
    <t>Invalid password</t>
  </si>
  <si>
    <t>1. Enter a valid username with a wrong password
2. Click Sign In</t>
  </si>
  <si>
    <t>Error message 'Invalid credentials or account inactive'; stays on login page</t>
  </si>
  <si>
    <t>ADMIN-LOG-03</t>
  </si>
  <si>
    <t>Inactive account</t>
  </si>
  <si>
    <t>1. Login with a deactivated account (ask admin to deactivate a test user first)</t>
  </si>
  <si>
    <t>Login refused with the same generic error</t>
  </si>
  <si>
    <t>ADMIN-LOG-04</t>
  </si>
  <si>
    <t>Session</t>
  </si>
  <si>
    <t>Refresh keeps session</t>
  </si>
  <si>
    <t>1. Login
2. Press F5 / Ctrl+F5 on any page</t>
  </si>
  <si>
    <t>Still logged in; same page or dashboard reopens (no login prompt)</t>
  </si>
  <si>
    <t>ADMIN-LOG-05</t>
  </si>
  <si>
    <t>Deep link without session</t>
  </si>
  <si>
    <t>1. Logout
2. Open the app URL again</t>
  </si>
  <si>
    <t>Login page shown; no app content visible before login</t>
  </si>
  <si>
    <t>ADMIN-LOG-06</t>
  </si>
  <si>
    <t>Logout</t>
  </si>
  <si>
    <t>Logout clears session</t>
  </si>
  <si>
    <t>1. Click your avatar (top-right) &gt; Logout
2. Press Back in the browser</t>
  </si>
  <si>
    <t>Returned to login; Back does not re-enter the app with data</t>
  </si>
  <si>
    <t>ADMIN-LOG-07</t>
  </si>
  <si>
    <t>Arabic login page</t>
  </si>
  <si>
    <t>1. On the login page switch language to AR (ع)
2. Login</t>
  </si>
  <si>
    <t>Login page is mirrored (RTL) with Arabic labels; after login the app stays in Arabic</t>
  </si>
  <si>
    <t>ADMIN-DSH-01</t>
  </si>
  <si>
    <t>Headline counts</t>
  </si>
  <si>
    <t>Stats cards show live numbers</t>
  </si>
  <si>
    <t>1. Open Home/Dashboard
2. Compare 'Users' count with the Users list total</t>
  </si>
  <si>
    <t>Cards show non-zero sensible numbers; users count matches the Users page total</t>
  </si>
  <si>
    <t>ADMIN-DSH-02</t>
  </si>
  <si>
    <t>Charts</t>
  </si>
  <si>
    <t>Both charts render</t>
  </si>
  <si>
    <t>1. Open Dashboard
2. Wait for charts to load</t>
  </si>
  <si>
    <t>Approval cycle-time bar chart + 30-day activity line chart render with axes and legend; no empty boxes</t>
  </si>
  <si>
    <t>ADMIN-DSH-03</t>
  </si>
  <si>
    <t>Charts survive navigation</t>
  </si>
  <si>
    <t>1. Open Dashboard
2. Navigate to Users, then back to Dashboard</t>
  </si>
  <si>
    <t>Charts render again correctly (not blank, not duplicated)</t>
  </si>
  <si>
    <t>ADMIN-DSH-04</t>
  </si>
  <si>
    <t>Loading states</t>
  </si>
  <si>
    <t>Skeleton then data</t>
  </si>
  <si>
    <t>1. Hard-refresh (Ctrl+F5) on Dashboard</t>
  </si>
  <si>
    <t>Brief skeleton/placeholder shown, then real data; no flash of errors</t>
  </si>
  <si>
    <t>ADMIN-WSP-01</t>
  </si>
  <si>
    <t>My Profile</t>
  </si>
  <si>
    <t>Profile loads current data</t>
  </si>
  <si>
    <t>1. Go to My Workspace &gt; My Profile</t>
  </si>
  <si>
    <t>Display names, email, phone, employee number, organisation are the CURRENT values from the server</t>
  </si>
  <si>
    <t>ADMIN-WSP-02</t>
  </si>
  <si>
    <t>Update phone persists</t>
  </si>
  <si>
    <t>1. Change Phone
2. Click Save Profile
3. Hard-refresh (Ctrl+F5) and reopen My Profile</t>
  </si>
  <si>
    <t>Success banner on save; after refresh the NEW phone is still shown</t>
  </si>
  <si>
    <t>ADMIN-WSP-03</t>
  </si>
  <si>
    <t>Update Arabic display name</t>
  </si>
  <si>
    <t>1. Edit Display Name (Arabic)
2. Save
3. Refresh and recheck</t>
  </si>
  <si>
    <t>Arabic name saved and persists; shown RTL in the field</t>
  </si>
  <si>
    <t>ADMIN-WSP-04</t>
  </si>
  <si>
    <t>Employee number not lost</t>
  </si>
  <si>
    <t>1. Note your Employee Number
2. Change phone and Save Profile
3. Refresh</t>
  </si>
  <si>
    <t>Employee Number is unchanged after a profile save</t>
  </si>
  <si>
    <t>ADMIN-WSP-05</t>
  </si>
  <si>
    <t>Upload photo</t>
  </si>
  <si>
    <t>1. Click Change Photo
2. Pick a JPG/PNG (any size)
3. Wait for upload</t>
  </si>
  <si>
    <t>File picker opens; avatar shows the photo; photo still there after Ctrl+F5</t>
  </si>
  <si>
    <t>ADMIN-WSP-06</t>
  </si>
  <si>
    <t>Replace photo</t>
  </si>
  <si>
    <t>1. Upload a different photo over the existing one</t>
  </si>
  <si>
    <t>New photo replaces the old one without errors</t>
  </si>
  <si>
    <t>ADMIN-WSP-07</t>
  </si>
  <si>
    <t>Change password</t>
  </si>
  <si>
    <t>Happy path</t>
  </si>
  <si>
    <t>1. In Change Password enter a new valid password twice
2. Submit
3. Logout and login with the NEW password
4. Change it back</t>
  </si>
  <si>
    <t>Success message; old password no longer works; new one does</t>
  </si>
  <si>
    <t>ADMIN-WSP-08</t>
  </si>
  <si>
    <t>Validation</t>
  </si>
  <si>
    <t>1. Try mismatching passwords
2. Try a password shorter than 8 characters</t>
  </si>
  <si>
    <t>Clear validation errors; nothing saved</t>
  </si>
  <si>
    <t>ADMIN-WSP-09</t>
  </si>
  <si>
    <t>Notifications</t>
  </si>
  <si>
    <t>List + unread badge</t>
  </si>
  <si>
    <t>1. Open Notifications
2. Compare the bell badge count with unread rows</t>
  </si>
  <si>
    <t>List loads; badge equals the number of unread notifications</t>
  </si>
  <si>
    <t>ADMIN-WSP-10</t>
  </si>
  <si>
    <t>Mark as read</t>
  </si>
  <si>
    <t>1. Mark one notification as read</t>
  </si>
  <si>
    <t>Row state changes; bell badge count decreases by 1</t>
  </si>
  <si>
    <t>ADMIN-WSP-11</t>
  </si>
  <si>
    <t>Pending approvals</t>
  </si>
  <si>
    <t>My queue</t>
  </si>
  <si>
    <t>1. Open Pending Approvals (use an approver account with pending items)</t>
  </si>
  <si>
    <t>Only items waiting for YOUR approval are listed with module, requester, date</t>
  </si>
  <si>
    <t>ADMIN-WSP-12</t>
  </si>
  <si>
    <t>Approve / reject</t>
  </si>
  <si>
    <t>1. Approve one item
2. Reject another with a comment</t>
  </si>
  <si>
    <t>Items leave the queue; requester gets a notification; status history updated</t>
  </si>
  <si>
    <t>ADMIN-USR-01</t>
  </si>
  <si>
    <t>Users list</t>
  </si>
  <si>
    <t>Server pagination</t>
  </si>
  <si>
    <t>1. Open Users
2. Check the pager caption (e.g. '1-50 of N')
3. Click next page</t>
  </si>
  <si>
    <t>Counts are correct; next page loads different rows; pager updates</t>
  </si>
  <si>
    <t>ADMIN-USR-02</t>
  </si>
  <si>
    <t>Search</t>
  </si>
  <si>
    <t>1. Type part of a name/username in search
2. Pause typing</t>
  </si>
  <si>
    <t>List filters after a short delay (server search); count updates; clearing search restores the full list</t>
  </si>
  <si>
    <t>ADMIN-USR-03</t>
  </si>
  <si>
    <t>Status filter</t>
  </si>
  <si>
    <t>1. Filter by Active, then Inactive</t>
  </si>
  <si>
    <t>Only matching users shown each time</t>
  </si>
  <si>
    <t>ADMIN-USR-04</t>
  </si>
  <si>
    <t>Create user</t>
  </si>
  <si>
    <t>1. Click New User
2. Fill username, names, email, org, role(s), password
3. Save
4. Logout and login as the new user</t>
  </si>
  <si>
    <t>User created and appears in the list; new user can login and sees role-appropriate navigation</t>
  </si>
  <si>
    <t>ADMIN-USR-05</t>
  </si>
  <si>
    <t>Duplicate username</t>
  </si>
  <si>
    <t>1. Create a user with an existing username</t>
  </si>
  <si>
    <t>Clear error; no duplicate created</t>
  </si>
  <si>
    <t>ADMIN-USR-06</t>
  </si>
  <si>
    <t>Edit user</t>
  </si>
  <si>
    <t>Change roles</t>
  </si>
  <si>
    <t>1. Edit a test user
2. Add/remove a role
3. Save
4. Login as that user</t>
  </si>
  <si>
    <t>Saved roles reflected; navigation/permissions change accordingly</t>
  </si>
  <si>
    <t>ADMIN-USR-07</t>
  </si>
  <si>
    <t>Edit fields</t>
  </si>
  <si>
    <t>1. Edit display names / email / phone / employee number / org
2. Save and reopen</t>
  </si>
  <si>
    <t>All edited values persisted and shown</t>
  </si>
  <si>
    <t>ADMIN-USR-08</t>
  </si>
  <si>
    <t>Deactivate</t>
  </si>
  <si>
    <t>Deactivate + reactivate</t>
  </si>
  <si>
    <t>1. Deactivate a test user
2. Try logging in as them
3. Reactivate</t>
  </si>
  <si>
    <t>Deactivated user cannot login; after reactivation they can</t>
  </si>
  <si>
    <t>ADMIN-ROL-01</t>
  </si>
  <si>
    <t>Roles list</t>
  </si>
  <si>
    <t>Vault list renders</t>
  </si>
  <si>
    <t>1. Open Roles</t>
  </si>
  <si>
    <t>Dark 'Vault' page lists roles with code, type, member count, active state</t>
  </si>
  <si>
    <t>ADMIN-ROL-02</t>
  </si>
  <si>
    <t>Create role</t>
  </si>
  <si>
    <t>New role</t>
  </si>
  <si>
    <t>1. Create a role with code + names
2. Save</t>
  </si>
  <si>
    <t>Role appears in the list; audit entry recorded</t>
  </si>
  <si>
    <t>ADMIN-ROL-03</t>
  </si>
  <si>
    <t>Edit role</t>
  </si>
  <si>
    <t>Assign permissions</t>
  </si>
  <si>
    <t>1. Open a role
2. Toggle several permissions on/off
3. Save
4. Reopen</t>
  </si>
  <si>
    <t>Saved toggles persist; member count unchanged</t>
  </si>
  <si>
    <t>ADMIN-ROL-04</t>
  </si>
  <si>
    <t>Permission matrix</t>
  </si>
  <si>
    <t>Matrix view</t>
  </si>
  <si>
    <t>1. Open Permissions
2. Locate a role column and toggle a cell
3. Save</t>
  </si>
  <si>
    <t>Matrix shows roles x permissions; toggle animates; change persists after reload</t>
  </si>
  <si>
    <t>ADMIN-ROL-05</t>
  </si>
  <si>
    <t>Permissions</t>
  </si>
  <si>
    <t>Effect on user</t>
  </si>
  <si>
    <t>1. Remove a permission from a role
2. Login as a user with ONLY that role</t>
  </si>
  <si>
    <t>Corresponding function is hidden/refused for that user (restore afterwards)</t>
  </si>
  <si>
    <t>ADMIN-ORG-01</t>
  </si>
  <si>
    <t>Hierarchy</t>
  </si>
  <si>
    <t>Tree renders</t>
  </si>
  <si>
    <t>1. Open Org Hierarchy</t>
  </si>
  <si>
    <t>Organisation tree shows with expand/collapse; correct parent-child structure</t>
  </si>
  <si>
    <t>ADMIN-ORG-02</t>
  </si>
  <si>
    <t>Add unit</t>
  </si>
  <si>
    <t>1. Add a child org unit (EN + AR names)
2. Save</t>
  </si>
  <si>
    <t>New unit appears under its parent; available in user org dropdown</t>
  </si>
  <si>
    <t>ADMIN-ORG-03</t>
  </si>
  <si>
    <t>Edit / deactivate unit</t>
  </si>
  <si>
    <t>1. Rename a test unit
2. Deactivate it</t>
  </si>
  <si>
    <t>Rename persists; deactivated unit flagged and not offered for new users</t>
  </si>
  <si>
    <t>ADMIN-SYS-01</t>
  </si>
  <si>
    <t>Module registry</t>
  </si>
  <si>
    <t>List + toggle</t>
  </si>
  <si>
    <t>1. Open Module Registry
2. Toggle a non-critical module inactive and back</t>
  </si>
  <si>
    <t>Modules (PC/DT/HR/FL/CC...) listed with status; toggle persists</t>
  </si>
  <si>
    <t>ADMIN-SYS-02</t>
  </si>
  <si>
    <t>Approval templates</t>
  </si>
  <si>
    <t>View / edit template</t>
  </si>
  <si>
    <t>1. Open Approval Templates
2. Open one template and review steps (sequence, role, escalation days)
3. Edit a non-production template</t>
  </si>
  <si>
    <t>Steps listed in order; edits persist</t>
  </si>
  <si>
    <t>ADMIN-SYS-03</t>
  </si>
  <si>
    <t>Approval monitor</t>
  </si>
  <si>
    <t>In-flight instances</t>
  </si>
  <si>
    <t>1. Open Approval Monitor
2. Filter by module/status</t>
  </si>
  <si>
    <t>Live approval instances with current step; filters work</t>
  </si>
  <si>
    <t>ADMIN-SYS-04</t>
  </si>
  <si>
    <t>Lookups</t>
  </si>
  <si>
    <t>Add lookup value</t>
  </si>
  <si>
    <t>1. Open Lookups
2. Pick a category (e.g. a status set)
3. Add a value (code + EN/AR names)
4. Edit it, then disable it</t>
  </si>
  <si>
    <t>Value appears immediately; edits persist; disabled value stops appearing in module dropdowns</t>
  </si>
  <si>
    <t>ADMIN-SYS-05</t>
  </si>
  <si>
    <t>System settings</t>
  </si>
  <si>
    <t>Edit a setting</t>
  </si>
  <si>
    <t>1. Open System Settings
2. Edit a non-system setting value
3. Save and refresh</t>
  </si>
  <si>
    <t>New value persists; system-flagged settings are read-only</t>
  </si>
  <si>
    <t>ADMIN-SYS-06</t>
  </si>
  <si>
    <t>Secrets masked</t>
  </si>
  <si>
    <t>1. Locate a key/password-type setting (e.g. API key)</t>
  </si>
  <si>
    <t>Value displays as ******** ; saving the mask back is refused (no secret overwrite)</t>
  </si>
  <si>
    <t>ADMIN-SYS-07</t>
  </si>
  <si>
    <t>Theme setting</t>
  </si>
  <si>
    <t>Brand color from settings</t>
  </si>
  <si>
    <t>1. Edit THEME_BRAND_COLOR (e.g. #7B1FA2)
2. Hard-refresh the app</t>
  </si>
  <si>
    <t>App chrome (buttons, accents) adopts the new color; restore the original afterwards</t>
  </si>
  <si>
    <t>ADMIN-SYS-08</t>
  </si>
  <si>
    <t>Audit log</t>
  </si>
  <si>
    <t>Pagination + filter</t>
  </si>
  <si>
    <t>1. Open Audit Log
2. Check pager caption
3. Filter by action (e.g. LOGIN)
4. Page through</t>
  </si>
  <si>
    <t>Server-paged list; filter narrows rows; newest entries first; your own recent actions appear</t>
  </si>
  <si>
    <t>ADMIN-SYS-09</t>
  </si>
  <si>
    <t>Appearance</t>
  </si>
  <si>
    <t>Theme switch</t>
  </si>
  <si>
    <t>1. Open Appearance
2. Switch theme and back</t>
  </si>
  <si>
    <t>Theme applies immediately and persists across refresh</t>
  </si>
  <si>
    <t>ADMIN-SHL-01</t>
  </si>
  <si>
    <t>Module switcher</t>
  </si>
  <si>
    <t>Switch to another module</t>
  </si>
  <si>
    <t>1. Click the module dropdown in the top bar
2. Choose HR (or PC/DT)</t>
  </si>
  <si>
    <t>Target app opens WITHOUT a second login (shared session); switcher highlights the current module</t>
  </si>
  <si>
    <t>ADMIN-SHL-02</t>
  </si>
  <si>
    <t>Language</t>
  </si>
  <si>
    <t>EN to AR live switch</t>
  </si>
  <si>
    <t>1. Click the ع button in the top bar</t>
  </si>
  <si>
    <t>Entire page flips RTL instantly: top bar, side nav, content; Arabic font; numbers stay Latin digits</t>
  </si>
  <si>
    <t>ADMIN-SHL-03</t>
  </si>
  <si>
    <t>AR persists across login</t>
  </si>
  <si>
    <t>1. Switch to AR
2. Logout, close browser, reopen and login</t>
  </si>
  <si>
    <t>App opens in Arabic (server-stored preference); switch back to EN at the end</t>
  </si>
  <si>
    <t>ADMIN-SHL-04</t>
  </si>
  <si>
    <t>Side navigation</t>
  </si>
  <si>
    <t>Collapse / expand</t>
  </si>
  <si>
    <t>1. Click the hamburger icon</t>
  </si>
  <si>
    <t>Side nav collapses/expands; content area adjusts</t>
  </si>
  <si>
    <t>ADMIN-SHL-05</t>
  </si>
  <si>
    <t>Role-based nav</t>
  </si>
  <si>
    <t>Menu matches role</t>
  </si>
  <si>
    <t>1. Login as a non-admin user</t>
  </si>
  <si>
    <t>Admin-only groups (User Management, System) are hidden</t>
  </si>
  <si>
    <t>ADMIN-SHL-06</t>
  </si>
  <si>
    <t>Error handling</t>
  </si>
  <si>
    <t>API failure feedback</t>
  </si>
  <si>
    <t>1. Disconnect network (or stop the proxy)
2. Try loading a list</t>
  </si>
  <si>
    <t>Friendly error state with Retry + a toast; no frozen skeleton, no blank screen</t>
  </si>
  <si>
    <t>Hany</t>
  </si>
  <si>
    <t>now error meesage displayed</t>
  </si>
  <si>
    <t>always go to home page after refresh any page</t>
  </si>
  <si>
    <r>
      <t xml:space="preserve">when logout Error message displayed on top right (Error: </t>
    </r>
    <r>
      <rPr>
        <sz val="9"/>
        <color rgb="FF5B6573"/>
        <rFont val="Arial"/>
        <family val="2"/>
      </rPr>
      <t>Request failed (400))</t>
    </r>
  </si>
  <si>
    <r>
      <t xml:space="preserve">Error message displayed on top right (Error: </t>
    </r>
    <r>
      <rPr>
        <sz val="9"/>
        <color rgb="FF5B6573"/>
        <rFont val="Arial"/>
        <family val="2"/>
      </rPr>
      <t>Request failed (400))</t>
    </r>
  </si>
  <si>
    <t>no switch Language available in login page</t>
  </si>
  <si>
    <t>Phone saved but after refresh it go to home page</t>
  </si>
  <si>
    <t>Employee number not updatable</t>
  </si>
  <si>
    <t xml:space="preserve">bell badge showing 4, and there is no notifications displayed </t>
  </si>
  <si>
    <t>not possible as no notification dispalyed</t>
  </si>
  <si>
    <t>No Data available</t>
  </si>
  <si>
    <t>it's accepted password less than 8 char, Also, there is no way to upload the photo</t>
  </si>
  <si>
    <t>it's not accepted, but the error message not showing and display table constraint error message</t>
  </si>
  <si>
    <t>when select "Section Manager" and save, it's showing as "Task Manager" in the user list table</t>
  </si>
  <si>
    <t xml:space="preserve">employee number disabled, Org not saved </t>
  </si>
  <si>
    <t>Page Very diffecult to work with, it need to be reinoviated, creative, Also the new role not displayed</t>
  </si>
  <si>
    <t>only one role (HR Administrator), and on the top (22 roles in the system)</t>
  </si>
  <si>
    <t>only one role (HR Administrator) and can't be edit even by click pencil icon</t>
  </si>
  <si>
    <t>very diffecult</t>
  </si>
  <si>
    <t>not possible</t>
  </si>
  <si>
    <t>Tree not showing</t>
  </si>
  <si>
    <t>no Add button</t>
  </si>
  <si>
    <t>no data showing</t>
  </si>
  <si>
    <t>not all module displayed</t>
  </si>
  <si>
    <t>after edit, popup window not accept either Save or Cancel button. And it keeps open</t>
  </si>
  <si>
    <t>no data available</t>
  </si>
  <si>
    <t>while access lookup page (Error
Request failed (555)) 2 times</t>
  </si>
  <si>
    <t>not all field updated like: APP_NAME, APP_NAME_AR</t>
  </si>
  <si>
    <t>key/password not displayed</t>
  </si>
  <si>
    <t>not dispalyed</t>
  </si>
  <si>
    <t>pagination not work, it's keep select 25</t>
  </si>
  <si>
    <t>Error response
Error code: 404
Message: File not found.
Error code explanation: 404 - Nothing matches the given URI.</t>
  </si>
  <si>
    <t>when collapse, nothing showing in the main page unless it's expand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</si>
</sst>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555555"/>
      <name val="Calibri"/>
    </font>
    <font>
      <b/>
      <sz val="18"/>
      <color rgb="FFC74634"/>
      <name val="Calibri"/>
    </font>
    <font>
      <b/>
      <sz val="12"/>
      <color rgb="FF444444"/>
      <name val="Calibri"/>
    </font>
    <font>
      <b/>
      <sz val="11"/>
      <name val="Calibri"/>
    </font>
    <font>
      <b/>
      <sz val="12"/>
      <color rgb="FFC74634"/>
      <name val="Calibri"/>
    </font>
    <font>
      <b/>
      <sz val="11"/>
      <color rgb="FFFFFFFF"/>
      <name val="Calibri"/>
    </font>
    <font>
      <sz val="10"/>
      <color rgb="FF1B2430"/>
      <name val="Arial"/>
      <family val="2"/>
    </font>
    <font>
      <sz val="9"/>
      <color rgb="FF5B657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74634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ECEFF1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7" fillId="2" borderId="1" xfId="0" applyFont="1" applyFill="1" applyBorder="1"/>
    <xf numFmtId="0" fontId="0" fillId="0" borderId="1" xfId="0" applyBorder="1"/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/>
    <xf numFmtId="0" fontId="0" fillId="0" borderId="0" xfId="0" applyAlignment="1">
      <alignment vertical="top" wrapText="1"/>
    </xf>
    <xf numFmtId="22" fontId="0" fillId="0" borderId="1" xfId="0" applyNumberFormat="1" applyBorder="1" applyAlignment="1">
      <alignment horizontal="center" vertical="top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44"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</dxfs>
  <tableStyles count="1" defaultTableStyle="TableStyleMedium9" defaultPivotStyle="PivotStyleLight16">
    <tableStyle name="Invisible" pivot="0" table="0" count="0" xr9:uid="{147CCE5A-A25B-4991-B9AC-2703F0EC6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showGridLines="0" topLeftCell="A21" workbookViewId="0"/>
  </sheetViews>
  <sheetFormatPr defaultRowHeight="15" x14ac:dyDescent="0.25"/>
  <cols>
    <col min="1" max="1" width="3" customWidth="1"/>
    <col min="2" max="2" width="30" customWidth="1"/>
    <col min="3" max="3" width="16" customWidth="1"/>
    <col min="4" max="7" width="12" customWidth="1"/>
  </cols>
  <sheetData>
    <row r="2" spans="2:7" ht="23.25" x14ac:dyDescent="0.35">
      <c r="B2" s="1" t="s">
        <v>0</v>
      </c>
    </row>
    <row r="3" spans="2:7" ht="15.75" x14ac:dyDescent="0.25">
      <c r="B3" s="2" t="s">
        <v>1</v>
      </c>
    </row>
    <row r="5" spans="2:7" x14ac:dyDescent="0.25">
      <c r="B5" s="3" t="s">
        <v>2</v>
      </c>
      <c r="C5" s="16" t="s">
        <v>3</v>
      </c>
      <c r="D5" s="16"/>
      <c r="E5" s="16"/>
      <c r="F5" s="16"/>
      <c r="G5" s="16"/>
    </row>
    <row r="6" spans="2:7" x14ac:dyDescent="0.25">
      <c r="B6" s="3" t="s">
        <v>4</v>
      </c>
      <c r="C6" s="16" t="s">
        <v>5</v>
      </c>
      <c r="D6" s="16"/>
      <c r="E6" s="16"/>
      <c r="F6" s="16"/>
      <c r="G6" s="16"/>
    </row>
    <row r="7" spans="2:7" x14ac:dyDescent="0.25">
      <c r="B7" s="3" t="s">
        <v>6</v>
      </c>
      <c r="C7" s="16"/>
      <c r="D7" s="16"/>
      <c r="E7" s="16"/>
      <c r="F7" s="16"/>
      <c r="G7" s="16"/>
    </row>
    <row r="8" spans="2:7" x14ac:dyDescent="0.25">
      <c r="B8" s="3" t="s">
        <v>7</v>
      </c>
      <c r="C8" s="16"/>
      <c r="D8" s="16"/>
      <c r="E8" s="16"/>
      <c r="F8" s="16"/>
      <c r="G8" s="16"/>
    </row>
    <row r="9" spans="2:7" x14ac:dyDescent="0.25">
      <c r="B9" s="3" t="s">
        <v>8</v>
      </c>
      <c r="C9" s="16"/>
      <c r="D9" s="16"/>
      <c r="E9" s="16"/>
      <c r="F9" s="16"/>
      <c r="G9" s="16"/>
    </row>
    <row r="10" spans="2:7" x14ac:dyDescent="0.25">
      <c r="B10" s="3" t="s">
        <v>9</v>
      </c>
      <c r="C10" s="16"/>
      <c r="D10" s="16"/>
      <c r="E10" s="16"/>
      <c r="F10" s="16"/>
      <c r="G10" s="16"/>
    </row>
    <row r="12" spans="2:7" ht="15.75" x14ac:dyDescent="0.25">
      <c r="B12" s="4" t="s">
        <v>10</v>
      </c>
    </row>
    <row r="13" spans="2:7" x14ac:dyDescent="0.25">
      <c r="B13" s="16" t="s">
        <v>11</v>
      </c>
      <c r="C13" s="16"/>
      <c r="D13" s="16"/>
      <c r="E13" s="16"/>
      <c r="F13" s="16"/>
      <c r="G13" s="16"/>
    </row>
    <row r="14" spans="2:7" x14ac:dyDescent="0.25">
      <c r="B14" s="16" t="s">
        <v>12</v>
      </c>
      <c r="C14" s="16"/>
      <c r="D14" s="16"/>
      <c r="E14" s="16"/>
      <c r="F14" s="16"/>
      <c r="G14" s="16"/>
    </row>
    <row r="15" spans="2:7" x14ac:dyDescent="0.25">
      <c r="B15" s="16" t="s">
        <v>13</v>
      </c>
      <c r="C15" s="16"/>
      <c r="D15" s="16"/>
      <c r="E15" s="16"/>
      <c r="F15" s="16"/>
      <c r="G15" s="16"/>
    </row>
    <row r="16" spans="2:7" x14ac:dyDescent="0.25">
      <c r="B16" s="16" t="s">
        <v>14</v>
      </c>
      <c r="C16" s="16"/>
      <c r="D16" s="16"/>
      <c r="E16" s="16"/>
      <c r="F16" s="16"/>
      <c r="G16" s="16"/>
    </row>
    <row r="17" spans="2:7" x14ac:dyDescent="0.25">
      <c r="B17" s="16" t="s">
        <v>15</v>
      </c>
      <c r="C17" s="16"/>
      <c r="D17" s="16"/>
      <c r="E17" s="16"/>
      <c r="F17" s="16"/>
      <c r="G17" s="16"/>
    </row>
    <row r="18" spans="2:7" x14ac:dyDescent="0.25">
      <c r="B18" s="16" t="s">
        <v>16</v>
      </c>
      <c r="C18" s="16"/>
      <c r="D18" s="16"/>
      <c r="E18" s="16"/>
      <c r="F18" s="16"/>
      <c r="G18" s="16"/>
    </row>
    <row r="19" spans="2:7" x14ac:dyDescent="0.25">
      <c r="B19" s="16" t="s">
        <v>17</v>
      </c>
      <c r="C19" s="16"/>
      <c r="D19" s="16"/>
      <c r="E19" s="16"/>
      <c r="F19" s="16"/>
      <c r="G19" s="16"/>
    </row>
    <row r="21" spans="2:7" ht="15.75" x14ac:dyDescent="0.25">
      <c r="B21" s="4" t="s">
        <v>18</v>
      </c>
    </row>
    <row r="22" spans="2:7" x14ac:dyDescent="0.25">
      <c r="B22" s="5" t="s">
        <v>19</v>
      </c>
      <c r="C22" s="16" t="s">
        <v>20</v>
      </c>
      <c r="D22" s="16"/>
      <c r="E22" s="16"/>
      <c r="F22" s="16"/>
      <c r="G22" s="16"/>
    </row>
    <row r="23" spans="2:7" x14ac:dyDescent="0.25">
      <c r="B23" s="6" t="s">
        <v>21</v>
      </c>
      <c r="C23" s="16" t="s">
        <v>22</v>
      </c>
      <c r="D23" s="16"/>
      <c r="E23" s="16"/>
      <c r="F23" s="16"/>
      <c r="G23" s="16"/>
    </row>
    <row r="24" spans="2:7" x14ac:dyDescent="0.25">
      <c r="B24" s="7" t="s">
        <v>23</v>
      </c>
      <c r="C24" s="16" t="s">
        <v>24</v>
      </c>
      <c r="D24" s="16"/>
      <c r="E24" s="16"/>
      <c r="F24" s="16"/>
      <c r="G24" s="16"/>
    </row>
    <row r="25" spans="2:7" x14ac:dyDescent="0.25">
      <c r="B25" s="8" t="s">
        <v>25</v>
      </c>
      <c r="C25" s="16" t="s">
        <v>26</v>
      </c>
      <c r="D25" s="16"/>
      <c r="E25" s="16"/>
      <c r="F25" s="16"/>
      <c r="G25" s="16"/>
    </row>
    <row r="27" spans="2:7" ht="15.75" x14ac:dyDescent="0.25">
      <c r="B27" s="4" t="s">
        <v>27</v>
      </c>
    </row>
    <row r="28" spans="2:7" ht="30" customHeight="1" x14ac:dyDescent="0.25">
      <c r="B28" s="17" t="s">
        <v>28</v>
      </c>
      <c r="C28" s="16"/>
      <c r="D28" s="16"/>
      <c r="E28" s="16"/>
      <c r="F28" s="16"/>
      <c r="G28" s="16"/>
    </row>
    <row r="29" spans="2:7" ht="30" customHeight="1" x14ac:dyDescent="0.25">
      <c r="B29" s="17" t="s">
        <v>29</v>
      </c>
      <c r="C29" s="16"/>
      <c r="D29" s="16"/>
      <c r="E29" s="16"/>
      <c r="F29" s="16"/>
      <c r="G29" s="16"/>
    </row>
    <row r="31" spans="2:7" ht="15.75" x14ac:dyDescent="0.25">
      <c r="B31" s="4" t="s">
        <v>30</v>
      </c>
    </row>
    <row r="32" spans="2:7" x14ac:dyDescent="0.25">
      <c r="B32" s="9" t="s">
        <v>31</v>
      </c>
      <c r="C32" s="9" t="s">
        <v>32</v>
      </c>
      <c r="D32" s="9" t="s">
        <v>19</v>
      </c>
      <c r="E32" s="9" t="s">
        <v>21</v>
      </c>
      <c r="F32" s="9" t="s">
        <v>23</v>
      </c>
      <c r="G32" s="9" t="s">
        <v>33</v>
      </c>
    </row>
    <row r="33" spans="2:7" x14ac:dyDescent="0.25">
      <c r="B33" s="10" t="s">
        <v>34</v>
      </c>
      <c r="C33" s="10">
        <v>7</v>
      </c>
      <c r="D33" s="10">
        <f>COUNTIF('Login &amp; Session'!F:F,"Pass")</f>
        <v>1</v>
      </c>
      <c r="E33" s="10">
        <f>COUNTIF('Login &amp; Session'!F:F,"Fail")</f>
        <v>6</v>
      </c>
      <c r="F33" s="10">
        <f>COUNTIF('Login &amp; Session'!F:F,"Blocked")</f>
        <v>0</v>
      </c>
      <c r="G33" s="10" t="str">
        <f>ROUND(COUNTA('Login &amp; Session'!F2:F500)/C33*100,0)&amp;"%"</f>
        <v>100%</v>
      </c>
    </row>
    <row r="34" spans="2:7" x14ac:dyDescent="0.25">
      <c r="B34" s="10" t="s">
        <v>35</v>
      </c>
      <c r="C34" s="10">
        <v>4</v>
      </c>
      <c r="D34" s="10">
        <f>COUNTIF(Dashboard!F:F,"Pass")</f>
        <v>4</v>
      </c>
      <c r="E34" s="10">
        <f>COUNTIF(Dashboard!F:F,"Fail")</f>
        <v>0</v>
      </c>
      <c r="F34" s="10">
        <f>COUNTIF(Dashboard!F:F,"Blocked")</f>
        <v>0</v>
      </c>
      <c r="G34" s="10" t="str">
        <f>ROUND(COUNTA(Dashboard!F2:F500)/C34*100,0)&amp;"%"</f>
        <v>100%</v>
      </c>
    </row>
    <row r="35" spans="2:7" x14ac:dyDescent="0.25">
      <c r="B35" s="10" t="s">
        <v>36</v>
      </c>
      <c r="C35" s="10">
        <v>12</v>
      </c>
      <c r="D35" s="10">
        <f>COUNTIF('My Workspace'!F:F,"Pass")</f>
        <v>7</v>
      </c>
      <c r="E35" s="10">
        <f>COUNTIF('My Workspace'!F:F,"Fail")</f>
        <v>5</v>
      </c>
      <c r="F35" s="10">
        <f>COUNTIF('My Workspace'!F:F,"Blocked")</f>
        <v>0</v>
      </c>
      <c r="G35" s="10" t="str">
        <f>ROUND(COUNTA('My Workspace'!F2:F500)/C35*100,0)&amp;"%"</f>
        <v>100%</v>
      </c>
    </row>
    <row r="36" spans="2:7" x14ac:dyDescent="0.25">
      <c r="B36" s="10" t="s">
        <v>37</v>
      </c>
      <c r="C36" s="10">
        <v>8</v>
      </c>
      <c r="D36" s="10">
        <f>COUNTIF('User Management'!F:F,"Pass")</f>
        <v>5</v>
      </c>
      <c r="E36" s="10">
        <f>COUNTIF('User Management'!F:F,"Fail")</f>
        <v>3</v>
      </c>
      <c r="F36" s="10">
        <f>COUNTIF('User Management'!F:F,"Blocked")</f>
        <v>0</v>
      </c>
      <c r="G36" s="10" t="str">
        <f>ROUND(COUNTA('User Management'!F2:F500)/C36*100,0)&amp;"%"</f>
        <v>100%</v>
      </c>
    </row>
    <row r="37" spans="2:7" x14ac:dyDescent="0.25">
      <c r="B37" s="10" t="s">
        <v>38</v>
      </c>
      <c r="C37" s="10">
        <v>5</v>
      </c>
      <c r="D37" s="10">
        <f>COUNTIF('Roles &amp; Permissions'!F:F,"Pass")</f>
        <v>0</v>
      </c>
      <c r="E37" s="10">
        <f>COUNTIF('Roles &amp; Permissions'!F:F,"Fail")</f>
        <v>5</v>
      </c>
      <c r="F37" s="10">
        <f>COUNTIF('Roles &amp; Permissions'!F:F,"Blocked")</f>
        <v>0</v>
      </c>
      <c r="G37" s="10" t="str">
        <f>ROUND(COUNTA('Roles &amp; Permissions'!F2:F500)/C37*100,0)&amp;"%"</f>
        <v>100%</v>
      </c>
    </row>
    <row r="38" spans="2:7" x14ac:dyDescent="0.25">
      <c r="B38" s="10" t="s">
        <v>39</v>
      </c>
      <c r="C38" s="10">
        <v>3</v>
      </c>
      <c r="D38" s="10">
        <f>COUNTIF(Organisation!F:F,"Pass")</f>
        <v>0</v>
      </c>
      <c r="E38" s="10">
        <f>COUNTIF(Organisation!F:F,"Fail")</f>
        <v>3</v>
      </c>
      <c r="F38" s="10">
        <f>COUNTIF(Organisation!F:F,"Blocked")</f>
        <v>0</v>
      </c>
      <c r="G38" s="10" t="str">
        <f>ROUND(COUNTA(Organisation!F2:F500)/C38*100,0)&amp;"%"</f>
        <v>100%</v>
      </c>
    </row>
    <row r="39" spans="2:7" x14ac:dyDescent="0.25">
      <c r="B39" s="10" t="s">
        <v>40</v>
      </c>
      <c r="C39" s="10">
        <v>9</v>
      </c>
      <c r="D39" s="10">
        <f>COUNTIF('System Administration'!F:F,"Pass")</f>
        <v>1</v>
      </c>
      <c r="E39" s="10">
        <f>COUNTIF('System Administration'!F:F,"Fail")</f>
        <v>8</v>
      </c>
      <c r="F39" s="10">
        <f>COUNTIF('System Administration'!F:F,"Blocked")</f>
        <v>0</v>
      </c>
      <c r="G39" s="10" t="str">
        <f>ROUND(COUNTA('System Administration'!F2:F500)/C39*100,0)&amp;"%"</f>
        <v>100%</v>
      </c>
    </row>
    <row r="40" spans="2:7" x14ac:dyDescent="0.25">
      <c r="B40" s="10" t="s">
        <v>41</v>
      </c>
      <c r="C40" s="10">
        <v>6</v>
      </c>
      <c r="D40" s="10">
        <f>COUNTIF('Shell &amp; Platform'!F:F,"Pass")</f>
        <v>1</v>
      </c>
      <c r="E40" s="10">
        <f>COUNTIF('Shell &amp; Platform'!F:F,"Fail")</f>
        <v>5</v>
      </c>
      <c r="F40" s="10">
        <f>COUNTIF('Shell &amp; Platform'!F:F,"Blocked")</f>
        <v>0</v>
      </c>
      <c r="G40" s="10" t="str">
        <f>ROUND(COUNTA('Shell &amp; Platform'!F2:F500)/C40*100,0)&amp;"%"</f>
        <v>100%</v>
      </c>
    </row>
    <row r="41" spans="2:7" x14ac:dyDescent="0.25">
      <c r="B41" s="11" t="s">
        <v>42</v>
      </c>
      <c r="C41" s="11">
        <f>SUM(C33:C40)</f>
        <v>54</v>
      </c>
      <c r="D41" s="11">
        <f>SUM(D33:D40)</f>
        <v>19</v>
      </c>
      <c r="E41" s="11">
        <f>SUM(E33:E40)</f>
        <v>35</v>
      </c>
      <c r="F41" s="11">
        <f>SUM(F33:F40)</f>
        <v>0</v>
      </c>
    </row>
  </sheetData>
  <mergeCells count="19">
    <mergeCell ref="B29:G29"/>
    <mergeCell ref="B19:G19"/>
    <mergeCell ref="B28:G28"/>
    <mergeCell ref="C10:G10"/>
    <mergeCell ref="C25:G25"/>
    <mergeCell ref="C22:G22"/>
    <mergeCell ref="B15:G15"/>
    <mergeCell ref="C23:G23"/>
    <mergeCell ref="B16:G16"/>
    <mergeCell ref="B18:G18"/>
    <mergeCell ref="C6:G6"/>
    <mergeCell ref="B14:G14"/>
    <mergeCell ref="C24:G24"/>
    <mergeCell ref="B17:G17"/>
    <mergeCell ref="C5:G5"/>
    <mergeCell ref="B13:G13"/>
    <mergeCell ref="C9:G9"/>
    <mergeCell ref="C8:G8"/>
    <mergeCell ref="C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1" topLeftCell="A2" activePane="bottomLeft" state="frozen"/>
      <selection pane="bottomLeft" activeCell="F2" sqref="F2:I8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5.85546875" bestFit="1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60" x14ac:dyDescent="0.25">
      <c r="A2" s="13" t="s">
        <v>52</v>
      </c>
      <c r="B2" s="14" t="s">
        <v>53</v>
      </c>
      <c r="C2" s="14" t="s">
        <v>54</v>
      </c>
      <c r="D2" s="14" t="s">
        <v>55</v>
      </c>
      <c r="E2" s="14" t="s">
        <v>56</v>
      </c>
      <c r="F2" s="15" t="s">
        <v>19</v>
      </c>
      <c r="G2" s="15" t="s">
        <v>300</v>
      </c>
      <c r="H2" s="18">
        <f t="shared" ref="H2:H8" ca="1" si="0">NOW()</f>
        <v>46184.965391203703</v>
      </c>
      <c r="I2" s="14"/>
    </row>
    <row r="3" spans="1:9" ht="30" x14ac:dyDescent="0.25">
      <c r="A3" s="13" t="s">
        <v>57</v>
      </c>
      <c r="B3" s="14" t="s">
        <v>53</v>
      </c>
      <c r="C3" s="14" t="s">
        <v>58</v>
      </c>
      <c r="D3" s="14" t="s">
        <v>59</v>
      </c>
      <c r="E3" s="14" t="s">
        <v>60</v>
      </c>
      <c r="F3" s="15" t="s">
        <v>21</v>
      </c>
      <c r="G3" s="15" t="s">
        <v>300</v>
      </c>
      <c r="H3" s="18">
        <f t="shared" ca="1" si="0"/>
        <v>46184.965391203703</v>
      </c>
      <c r="I3" s="14" t="s">
        <v>301</v>
      </c>
    </row>
    <row r="4" spans="1:9" ht="30" x14ac:dyDescent="0.25">
      <c r="A4" s="13" t="s">
        <v>61</v>
      </c>
      <c r="B4" s="14" t="s">
        <v>53</v>
      </c>
      <c r="C4" s="14" t="s">
        <v>62</v>
      </c>
      <c r="D4" s="14" t="s">
        <v>63</v>
      </c>
      <c r="E4" s="14" t="s">
        <v>64</v>
      </c>
      <c r="F4" s="15" t="s">
        <v>21</v>
      </c>
      <c r="G4" s="15" t="s">
        <v>300</v>
      </c>
      <c r="H4" s="18">
        <f t="shared" ca="1" si="0"/>
        <v>46184.965391203703</v>
      </c>
      <c r="I4" s="14" t="s">
        <v>301</v>
      </c>
    </row>
    <row r="5" spans="1:9" ht="30" x14ac:dyDescent="0.25">
      <c r="A5" s="13" t="s">
        <v>65</v>
      </c>
      <c r="B5" s="14" t="s">
        <v>66</v>
      </c>
      <c r="C5" s="14" t="s">
        <v>67</v>
      </c>
      <c r="D5" s="14" t="s">
        <v>68</v>
      </c>
      <c r="E5" s="14" t="s">
        <v>69</v>
      </c>
      <c r="F5" s="15" t="s">
        <v>21</v>
      </c>
      <c r="G5" s="15" t="s">
        <v>300</v>
      </c>
      <c r="H5" s="18">
        <f t="shared" ca="1" si="0"/>
        <v>46184.965391203703</v>
      </c>
      <c r="I5" s="14" t="s">
        <v>302</v>
      </c>
    </row>
    <row r="6" spans="1:9" ht="30" x14ac:dyDescent="0.25">
      <c r="A6" s="13" t="s">
        <v>70</v>
      </c>
      <c r="B6" s="14" t="s">
        <v>66</v>
      </c>
      <c r="C6" s="14" t="s">
        <v>71</v>
      </c>
      <c r="D6" s="14" t="s">
        <v>72</v>
      </c>
      <c r="E6" s="14" t="s">
        <v>73</v>
      </c>
      <c r="F6" s="15" t="s">
        <v>21</v>
      </c>
      <c r="G6" s="15" t="s">
        <v>300</v>
      </c>
      <c r="H6" s="18">
        <f t="shared" ca="1" si="0"/>
        <v>46184.965391203703</v>
      </c>
      <c r="I6" s="19" t="s">
        <v>303</v>
      </c>
    </row>
    <row r="7" spans="1:9" ht="30" x14ac:dyDescent="0.25">
      <c r="A7" s="13" t="s">
        <v>74</v>
      </c>
      <c r="B7" s="14" t="s">
        <v>75</v>
      </c>
      <c r="C7" s="14" t="s">
        <v>76</v>
      </c>
      <c r="D7" s="14" t="s">
        <v>77</v>
      </c>
      <c r="E7" s="14" t="s">
        <v>78</v>
      </c>
      <c r="F7" s="15" t="s">
        <v>21</v>
      </c>
      <c r="G7" s="15" t="s">
        <v>300</v>
      </c>
      <c r="H7" s="18">
        <f t="shared" ca="1" si="0"/>
        <v>46184.965391203703</v>
      </c>
      <c r="I7" s="19" t="s">
        <v>304</v>
      </c>
    </row>
    <row r="8" spans="1:9" ht="30" x14ac:dyDescent="0.25">
      <c r="A8" s="13" t="s">
        <v>79</v>
      </c>
      <c r="B8" s="14" t="s">
        <v>53</v>
      </c>
      <c r="C8" s="14" t="s">
        <v>80</v>
      </c>
      <c r="D8" s="14" t="s">
        <v>81</v>
      </c>
      <c r="E8" s="14" t="s">
        <v>82</v>
      </c>
      <c r="F8" s="15" t="s">
        <v>21</v>
      </c>
      <c r="G8" s="15" t="s">
        <v>300</v>
      </c>
      <c r="H8" s="18">
        <f t="shared" ca="1" si="0"/>
        <v>46184.965391203703</v>
      </c>
      <c r="I8" s="14" t="s">
        <v>305</v>
      </c>
    </row>
  </sheetData>
  <autoFilter ref="A1:I8" xr:uid="{00000000-0009-0000-0000-000001000000}"/>
  <conditionalFormatting sqref="F2:F8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"Blocked"</formula>
    </cfRule>
    <cfRule type="cellIs" dxfId="8" priority="4" operator="equal">
      <formula>"N/A"</formula>
    </cfRule>
  </conditionalFormatting>
  <dataValidations count="1">
    <dataValidation type="list" allowBlank="1" errorTitle="Invalid status" error="Choose Pass, Fail, Blocked or N/A" sqref="F2:F8" xr:uid="{F04D7B8F-D31E-4354-AE24-2E018345A29B}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pane ySplit="1" topLeftCell="A2" activePane="bottomLeft" state="frozen"/>
      <selection pane="bottomLeft" activeCell="F5" sqref="F2:F5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30" x14ac:dyDescent="0.25">
      <c r="A2" s="13" t="s">
        <v>83</v>
      </c>
      <c r="B2" s="14" t="s">
        <v>84</v>
      </c>
      <c r="C2" s="14" t="s">
        <v>85</v>
      </c>
      <c r="D2" s="14" t="s">
        <v>86</v>
      </c>
      <c r="E2" s="14" t="s">
        <v>87</v>
      </c>
      <c r="F2" s="15" t="s">
        <v>19</v>
      </c>
      <c r="G2" s="15"/>
      <c r="H2" s="15"/>
      <c r="I2" s="14"/>
    </row>
    <row r="3" spans="1:9" ht="45" x14ac:dyDescent="0.25">
      <c r="A3" s="13" t="s">
        <v>88</v>
      </c>
      <c r="B3" s="14" t="s">
        <v>89</v>
      </c>
      <c r="C3" s="14" t="s">
        <v>90</v>
      </c>
      <c r="D3" s="14" t="s">
        <v>91</v>
      </c>
      <c r="E3" s="14" t="s">
        <v>92</v>
      </c>
      <c r="F3" s="15" t="s">
        <v>19</v>
      </c>
      <c r="G3" s="15"/>
      <c r="H3" s="15"/>
      <c r="I3" s="14"/>
    </row>
    <row r="4" spans="1:9" ht="30" x14ac:dyDescent="0.25">
      <c r="A4" s="13" t="s">
        <v>93</v>
      </c>
      <c r="B4" s="14" t="s">
        <v>89</v>
      </c>
      <c r="C4" s="14" t="s">
        <v>94</v>
      </c>
      <c r="D4" s="14" t="s">
        <v>95</v>
      </c>
      <c r="E4" s="14" t="s">
        <v>96</v>
      </c>
      <c r="F4" s="15" t="s">
        <v>19</v>
      </c>
      <c r="G4" s="15"/>
      <c r="H4" s="15"/>
      <c r="I4" s="14"/>
    </row>
    <row r="5" spans="1:9" ht="30" x14ac:dyDescent="0.25">
      <c r="A5" s="13" t="s">
        <v>97</v>
      </c>
      <c r="B5" s="14" t="s">
        <v>98</v>
      </c>
      <c r="C5" s="14" t="s">
        <v>99</v>
      </c>
      <c r="D5" s="14" t="s">
        <v>100</v>
      </c>
      <c r="E5" s="14" t="s">
        <v>101</v>
      </c>
      <c r="F5" s="15" t="s">
        <v>19</v>
      </c>
      <c r="G5" s="15"/>
      <c r="H5" s="15"/>
      <c r="I5" s="14"/>
    </row>
  </sheetData>
  <autoFilter ref="A1:I5" xr:uid="{00000000-0009-0000-0000-000002000000}"/>
  <conditionalFormatting sqref="F2:F5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"Blocked"</formula>
    </cfRule>
    <cfRule type="cellIs" dxfId="4" priority="4" operator="equal">
      <formula>"N/A"</formula>
    </cfRule>
  </conditionalFormatting>
  <dataValidations count="1">
    <dataValidation type="list" allowBlank="1" errorTitle="Invalid status" error="Choose Pass, Fail, Blocked or N/A" sqref="F2:F5" xr:uid="{46BEA44E-D4B5-4380-8E1F-A4130AAC084A}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pane ySplit="1" topLeftCell="A2" activePane="bottomLeft" state="frozen"/>
      <selection pane="bottomLeft" activeCell="G10" sqref="G10:G13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5.85546875" bestFit="1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45" x14ac:dyDescent="0.25">
      <c r="A2" s="13" t="s">
        <v>102</v>
      </c>
      <c r="B2" s="14" t="s">
        <v>103</v>
      </c>
      <c r="C2" s="14" t="s">
        <v>104</v>
      </c>
      <c r="D2" s="14" t="s">
        <v>105</v>
      </c>
      <c r="E2" s="14" t="s">
        <v>106</v>
      </c>
      <c r="F2" s="15" t="s">
        <v>19</v>
      </c>
      <c r="G2" s="15" t="s">
        <v>300</v>
      </c>
      <c r="H2" s="15"/>
      <c r="I2" s="14"/>
    </row>
    <row r="3" spans="1:9" ht="45" x14ac:dyDescent="0.25">
      <c r="A3" s="13" t="s">
        <v>107</v>
      </c>
      <c r="B3" s="14" t="s">
        <v>103</v>
      </c>
      <c r="C3" s="14" t="s">
        <v>108</v>
      </c>
      <c r="D3" s="14" t="s">
        <v>109</v>
      </c>
      <c r="E3" s="14" t="s">
        <v>110</v>
      </c>
      <c r="F3" s="15" t="s">
        <v>19</v>
      </c>
      <c r="G3" s="15" t="s">
        <v>300</v>
      </c>
      <c r="H3" s="18">
        <f ca="1">NOW()</f>
        <v>46184.965391203703</v>
      </c>
      <c r="I3" s="14" t="s">
        <v>306</v>
      </c>
    </row>
    <row r="4" spans="1:9" ht="45" x14ac:dyDescent="0.25">
      <c r="A4" s="13" t="s">
        <v>111</v>
      </c>
      <c r="B4" s="14" t="s">
        <v>103</v>
      </c>
      <c r="C4" s="14" t="s">
        <v>112</v>
      </c>
      <c r="D4" s="14" t="s">
        <v>113</v>
      </c>
      <c r="E4" s="14" t="s">
        <v>114</v>
      </c>
      <c r="F4" s="15" t="s">
        <v>19</v>
      </c>
      <c r="G4" s="15" t="s">
        <v>300</v>
      </c>
      <c r="H4" s="15"/>
      <c r="I4" s="14"/>
    </row>
    <row r="5" spans="1:9" ht="45" x14ac:dyDescent="0.25">
      <c r="A5" s="13" t="s">
        <v>115</v>
      </c>
      <c r="B5" s="14" t="s">
        <v>103</v>
      </c>
      <c r="C5" s="14" t="s">
        <v>116</v>
      </c>
      <c r="D5" s="14" t="s">
        <v>117</v>
      </c>
      <c r="E5" s="14" t="s">
        <v>118</v>
      </c>
      <c r="F5" s="15" t="s">
        <v>21</v>
      </c>
      <c r="G5" s="15" t="s">
        <v>300</v>
      </c>
      <c r="H5" s="15"/>
      <c r="I5" s="14" t="s">
        <v>307</v>
      </c>
    </row>
    <row r="6" spans="1:9" ht="45" x14ac:dyDescent="0.25">
      <c r="A6" s="13" t="s">
        <v>119</v>
      </c>
      <c r="B6" s="14" t="s">
        <v>103</v>
      </c>
      <c r="C6" s="14" t="s">
        <v>120</v>
      </c>
      <c r="D6" s="14" t="s">
        <v>121</v>
      </c>
      <c r="E6" s="14" t="s">
        <v>122</v>
      </c>
      <c r="F6" s="15" t="s">
        <v>19</v>
      </c>
      <c r="G6" s="15" t="s">
        <v>300</v>
      </c>
      <c r="H6" s="15"/>
      <c r="I6" s="14"/>
    </row>
    <row r="7" spans="1:9" ht="30" x14ac:dyDescent="0.25">
      <c r="A7" s="13" t="s">
        <v>123</v>
      </c>
      <c r="B7" s="14" t="s">
        <v>103</v>
      </c>
      <c r="C7" s="14" t="s">
        <v>124</v>
      </c>
      <c r="D7" s="14" t="s">
        <v>125</v>
      </c>
      <c r="E7" s="14" t="s">
        <v>126</v>
      </c>
      <c r="F7" s="15" t="s">
        <v>19</v>
      </c>
      <c r="G7" s="15" t="s">
        <v>300</v>
      </c>
      <c r="H7" s="15"/>
      <c r="I7" s="14"/>
    </row>
    <row r="8" spans="1:9" ht="60" x14ac:dyDescent="0.25">
      <c r="A8" s="13" t="s">
        <v>127</v>
      </c>
      <c r="B8" s="14" t="s">
        <v>128</v>
      </c>
      <c r="C8" s="14" t="s">
        <v>129</v>
      </c>
      <c r="D8" s="14" t="s">
        <v>130</v>
      </c>
      <c r="E8" s="14" t="s">
        <v>131</v>
      </c>
      <c r="F8" s="15" t="s">
        <v>19</v>
      </c>
      <c r="G8" s="15" t="s">
        <v>300</v>
      </c>
      <c r="H8" s="15"/>
      <c r="I8" s="14"/>
    </row>
    <row r="9" spans="1:9" ht="30" x14ac:dyDescent="0.25">
      <c r="A9" s="13" t="s">
        <v>132</v>
      </c>
      <c r="B9" s="14" t="s">
        <v>128</v>
      </c>
      <c r="C9" s="14" t="s">
        <v>133</v>
      </c>
      <c r="D9" s="14" t="s">
        <v>134</v>
      </c>
      <c r="E9" s="14" t="s">
        <v>135</v>
      </c>
      <c r="F9" s="15" t="s">
        <v>19</v>
      </c>
      <c r="G9" s="15" t="s">
        <v>300</v>
      </c>
      <c r="H9" s="15"/>
      <c r="I9" s="14"/>
    </row>
    <row r="10" spans="1:9" ht="30" x14ac:dyDescent="0.25">
      <c r="A10" s="13" t="s">
        <v>136</v>
      </c>
      <c r="B10" s="14" t="s">
        <v>137</v>
      </c>
      <c r="C10" s="14" t="s">
        <v>138</v>
      </c>
      <c r="D10" s="14" t="s">
        <v>139</v>
      </c>
      <c r="E10" s="14" t="s">
        <v>140</v>
      </c>
      <c r="F10" s="15" t="s">
        <v>21</v>
      </c>
      <c r="G10" s="15" t="s">
        <v>300</v>
      </c>
      <c r="H10" s="15"/>
      <c r="I10" s="14" t="s">
        <v>308</v>
      </c>
    </row>
    <row r="11" spans="1:9" ht="30" x14ac:dyDescent="0.25">
      <c r="A11" s="13" t="s">
        <v>141</v>
      </c>
      <c r="B11" s="14" t="s">
        <v>137</v>
      </c>
      <c r="C11" s="14" t="s">
        <v>142</v>
      </c>
      <c r="D11" s="14" t="s">
        <v>143</v>
      </c>
      <c r="E11" s="14" t="s">
        <v>144</v>
      </c>
      <c r="F11" s="15" t="s">
        <v>21</v>
      </c>
      <c r="G11" s="15" t="s">
        <v>300</v>
      </c>
      <c r="H11" s="15"/>
      <c r="I11" s="14" t="s">
        <v>309</v>
      </c>
    </row>
    <row r="12" spans="1:9" ht="30" x14ac:dyDescent="0.25">
      <c r="A12" s="13" t="s">
        <v>145</v>
      </c>
      <c r="B12" s="14" t="s">
        <v>146</v>
      </c>
      <c r="C12" s="14" t="s">
        <v>147</v>
      </c>
      <c r="D12" s="14" t="s">
        <v>148</v>
      </c>
      <c r="E12" s="14" t="s">
        <v>149</v>
      </c>
      <c r="F12" s="15" t="s">
        <v>21</v>
      </c>
      <c r="G12" s="15" t="s">
        <v>300</v>
      </c>
      <c r="H12" s="15"/>
      <c r="I12" s="14" t="s">
        <v>310</v>
      </c>
    </row>
    <row r="13" spans="1:9" ht="30" x14ac:dyDescent="0.25">
      <c r="A13" s="13" t="s">
        <v>150</v>
      </c>
      <c r="B13" s="14" t="s">
        <v>146</v>
      </c>
      <c r="C13" s="14" t="s">
        <v>151</v>
      </c>
      <c r="D13" s="14" t="s">
        <v>152</v>
      </c>
      <c r="E13" s="14" t="s">
        <v>153</v>
      </c>
      <c r="F13" s="15" t="s">
        <v>21</v>
      </c>
      <c r="G13" s="15" t="s">
        <v>300</v>
      </c>
      <c r="H13" s="15"/>
      <c r="I13" s="14" t="s">
        <v>310</v>
      </c>
    </row>
  </sheetData>
  <autoFilter ref="A1:I13" xr:uid="{00000000-0009-0000-0000-000003000000}"/>
  <conditionalFormatting sqref="F12:F13">
    <cfRule type="cellIs" dxfId="35" priority="5" operator="equal">
      <formula>"Pass"</formula>
    </cfRule>
    <cfRule type="cellIs" dxfId="34" priority="6" operator="equal">
      <formula>"Fail"</formula>
    </cfRule>
    <cfRule type="cellIs" dxfId="33" priority="7" operator="equal">
      <formula>"Blocked"</formula>
    </cfRule>
    <cfRule type="cellIs" dxfId="32" priority="8" operator="equal">
      <formula>"N/A"</formula>
    </cfRule>
  </conditionalFormatting>
  <conditionalFormatting sqref="F2:F11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"N/A"</formula>
    </cfRule>
  </conditionalFormatting>
  <dataValidations count="1">
    <dataValidation type="list" allowBlank="1" errorTitle="Invalid status" error="Choose Pass, Fail, Blocked or N/A" sqref="F2:F13" xr:uid="{00000000-0002-0000-0300-000000000000}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pane ySplit="1" topLeftCell="A2" activePane="bottomLeft" state="frozen"/>
      <selection pane="bottomLeft" activeCell="G3" sqref="G3:G9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45" x14ac:dyDescent="0.25">
      <c r="A2" s="13" t="s">
        <v>154</v>
      </c>
      <c r="B2" s="14" t="s">
        <v>155</v>
      </c>
      <c r="C2" s="14" t="s">
        <v>156</v>
      </c>
      <c r="D2" s="14" t="s">
        <v>157</v>
      </c>
      <c r="E2" s="14" t="s">
        <v>158</v>
      </c>
      <c r="F2" s="15" t="s">
        <v>19</v>
      </c>
      <c r="G2" s="15" t="s">
        <v>300</v>
      </c>
      <c r="H2" s="15"/>
      <c r="I2" s="14"/>
    </row>
    <row r="3" spans="1:9" ht="45" x14ac:dyDescent="0.25">
      <c r="A3" s="13" t="s">
        <v>159</v>
      </c>
      <c r="B3" s="14" t="s">
        <v>155</v>
      </c>
      <c r="C3" s="14" t="s">
        <v>160</v>
      </c>
      <c r="D3" s="14" t="s">
        <v>161</v>
      </c>
      <c r="E3" s="14" t="s">
        <v>162</v>
      </c>
      <c r="F3" s="15" t="s">
        <v>19</v>
      </c>
      <c r="G3" s="15" t="s">
        <v>300</v>
      </c>
      <c r="H3" s="15"/>
      <c r="I3" s="14"/>
    </row>
    <row r="4" spans="1:9" ht="30" x14ac:dyDescent="0.25">
      <c r="A4" s="13" t="s">
        <v>163</v>
      </c>
      <c r="B4" s="14" t="s">
        <v>155</v>
      </c>
      <c r="C4" s="14" t="s">
        <v>164</v>
      </c>
      <c r="D4" s="14" t="s">
        <v>165</v>
      </c>
      <c r="E4" s="14" t="s">
        <v>166</v>
      </c>
      <c r="F4" s="15" t="s">
        <v>19</v>
      </c>
      <c r="G4" s="15" t="s">
        <v>300</v>
      </c>
      <c r="H4" s="15"/>
      <c r="I4" s="14"/>
    </row>
    <row r="5" spans="1:9" ht="60" x14ac:dyDescent="0.25">
      <c r="A5" s="13" t="s">
        <v>167</v>
      </c>
      <c r="B5" s="14" t="s">
        <v>168</v>
      </c>
      <c r="C5" s="14" t="s">
        <v>129</v>
      </c>
      <c r="D5" s="14" t="s">
        <v>169</v>
      </c>
      <c r="E5" s="14" t="s">
        <v>170</v>
      </c>
      <c r="F5" s="15" t="s">
        <v>19</v>
      </c>
      <c r="G5" s="15" t="s">
        <v>300</v>
      </c>
      <c r="H5" s="15"/>
      <c r="I5" s="14" t="s">
        <v>311</v>
      </c>
    </row>
    <row r="6" spans="1:9" ht="45" x14ac:dyDescent="0.25">
      <c r="A6" s="13" t="s">
        <v>171</v>
      </c>
      <c r="B6" s="14" t="s">
        <v>168</v>
      </c>
      <c r="C6" s="14" t="s">
        <v>172</v>
      </c>
      <c r="D6" s="14" t="s">
        <v>173</v>
      </c>
      <c r="E6" s="14" t="s">
        <v>174</v>
      </c>
      <c r="F6" s="15" t="s">
        <v>21</v>
      </c>
      <c r="G6" s="15" t="s">
        <v>300</v>
      </c>
      <c r="H6" s="15"/>
      <c r="I6" s="14" t="s">
        <v>312</v>
      </c>
    </row>
    <row r="7" spans="1:9" ht="60" x14ac:dyDescent="0.25">
      <c r="A7" s="13" t="s">
        <v>175</v>
      </c>
      <c r="B7" s="14" t="s">
        <v>176</v>
      </c>
      <c r="C7" s="14" t="s">
        <v>177</v>
      </c>
      <c r="D7" s="14" t="s">
        <v>178</v>
      </c>
      <c r="E7" s="14" t="s">
        <v>179</v>
      </c>
      <c r="F7" s="15" t="s">
        <v>21</v>
      </c>
      <c r="G7" s="15" t="s">
        <v>300</v>
      </c>
      <c r="H7" s="15"/>
      <c r="I7" s="14" t="s">
        <v>313</v>
      </c>
    </row>
    <row r="8" spans="1:9" ht="45" x14ac:dyDescent="0.25">
      <c r="A8" s="13" t="s">
        <v>180</v>
      </c>
      <c r="B8" s="14" t="s">
        <v>176</v>
      </c>
      <c r="C8" s="14" t="s">
        <v>181</v>
      </c>
      <c r="D8" s="14" t="s">
        <v>182</v>
      </c>
      <c r="E8" s="14" t="s">
        <v>183</v>
      </c>
      <c r="F8" s="15" t="s">
        <v>21</v>
      </c>
      <c r="G8" s="15" t="s">
        <v>300</v>
      </c>
      <c r="H8" s="15"/>
      <c r="I8" s="14" t="s">
        <v>314</v>
      </c>
    </row>
    <row r="9" spans="1:9" ht="45" x14ac:dyDescent="0.25">
      <c r="A9" s="13" t="s">
        <v>184</v>
      </c>
      <c r="B9" s="14" t="s">
        <v>185</v>
      </c>
      <c r="C9" s="14" t="s">
        <v>186</v>
      </c>
      <c r="D9" s="14" t="s">
        <v>187</v>
      </c>
      <c r="E9" s="14" t="s">
        <v>188</v>
      </c>
      <c r="F9" s="15" t="s">
        <v>19</v>
      </c>
      <c r="G9" s="15" t="s">
        <v>300</v>
      </c>
      <c r="H9" s="15"/>
      <c r="I9" s="14"/>
    </row>
  </sheetData>
  <autoFilter ref="A1:I9" xr:uid="{00000000-0009-0000-0000-000004000000}"/>
  <conditionalFormatting sqref="F2:F9">
    <cfRule type="cellIs" dxfId="31" priority="1" operator="equal">
      <formula>"Pass"</formula>
    </cfRule>
    <cfRule type="cellIs" dxfId="30" priority="2" operator="equal">
      <formula>"Fail"</formula>
    </cfRule>
    <cfRule type="cellIs" dxfId="29" priority="3" operator="equal">
      <formula>"Blocked"</formula>
    </cfRule>
    <cfRule type="cellIs" dxfId="28" priority="4" operator="equal">
      <formula>"N/A"</formula>
    </cfRule>
  </conditionalFormatting>
  <dataValidations count="1">
    <dataValidation type="list" allowBlank="1" errorTitle="Invalid status" error="Choose Pass, Fail, Blocked or N/A" sqref="F2:F9" xr:uid="{00000000-0002-0000-0400-000000000000}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30" x14ac:dyDescent="0.25">
      <c r="A2" s="13" t="s">
        <v>189</v>
      </c>
      <c r="B2" s="14" t="s">
        <v>190</v>
      </c>
      <c r="C2" s="14" t="s">
        <v>191</v>
      </c>
      <c r="D2" s="14" t="s">
        <v>192</v>
      </c>
      <c r="E2" s="14" t="s">
        <v>193</v>
      </c>
      <c r="F2" s="15" t="s">
        <v>21</v>
      </c>
      <c r="G2" s="15" t="s">
        <v>300</v>
      </c>
      <c r="H2" s="15"/>
      <c r="I2" s="14" t="s">
        <v>316</v>
      </c>
    </row>
    <row r="3" spans="1:9" ht="45" x14ac:dyDescent="0.25">
      <c r="A3" s="13" t="s">
        <v>194</v>
      </c>
      <c r="B3" s="14" t="s">
        <v>195</v>
      </c>
      <c r="C3" s="14" t="s">
        <v>196</v>
      </c>
      <c r="D3" s="14" t="s">
        <v>197</v>
      </c>
      <c r="E3" s="14" t="s">
        <v>198</v>
      </c>
      <c r="F3" s="15" t="s">
        <v>21</v>
      </c>
      <c r="G3" s="15" t="s">
        <v>300</v>
      </c>
      <c r="H3" s="15"/>
      <c r="I3" s="14" t="s">
        <v>315</v>
      </c>
    </row>
    <row r="4" spans="1:9" ht="60" x14ac:dyDescent="0.25">
      <c r="A4" s="13" t="s">
        <v>199</v>
      </c>
      <c r="B4" s="14" t="s">
        <v>200</v>
      </c>
      <c r="C4" s="14" t="s">
        <v>201</v>
      </c>
      <c r="D4" s="14" t="s">
        <v>202</v>
      </c>
      <c r="E4" s="14" t="s">
        <v>203</v>
      </c>
      <c r="F4" s="15" t="s">
        <v>21</v>
      </c>
      <c r="G4" s="15"/>
      <c r="H4" s="15"/>
      <c r="I4" s="14" t="s">
        <v>317</v>
      </c>
    </row>
    <row r="5" spans="1:9" ht="45" x14ac:dyDescent="0.25">
      <c r="A5" s="13" t="s">
        <v>204</v>
      </c>
      <c r="B5" s="14" t="s">
        <v>205</v>
      </c>
      <c r="C5" s="14" t="s">
        <v>206</v>
      </c>
      <c r="D5" s="14" t="s">
        <v>207</v>
      </c>
      <c r="E5" s="14" t="s">
        <v>208</v>
      </c>
      <c r="F5" s="15" t="s">
        <v>21</v>
      </c>
      <c r="G5" s="15"/>
      <c r="H5" s="15"/>
      <c r="I5" s="14" t="s">
        <v>318</v>
      </c>
    </row>
    <row r="6" spans="1:9" ht="30" x14ac:dyDescent="0.25">
      <c r="A6" s="13" t="s">
        <v>209</v>
      </c>
      <c r="B6" s="14" t="s">
        <v>210</v>
      </c>
      <c r="C6" s="14" t="s">
        <v>211</v>
      </c>
      <c r="D6" s="14" t="s">
        <v>212</v>
      </c>
      <c r="E6" s="14" t="s">
        <v>213</v>
      </c>
      <c r="F6" s="15" t="s">
        <v>21</v>
      </c>
      <c r="G6" s="15"/>
      <c r="H6" s="15"/>
      <c r="I6" s="14" t="s">
        <v>319</v>
      </c>
    </row>
  </sheetData>
  <autoFilter ref="A1:I6" xr:uid="{00000000-0009-0000-0000-000005000000}"/>
  <conditionalFormatting sqref="F2:F6">
    <cfRule type="cellIs" dxfId="27" priority="1" operator="equal">
      <formula>"Pass"</formula>
    </cfRule>
    <cfRule type="cellIs" dxfId="26" priority="2" operator="equal">
      <formula>"Fail"</formula>
    </cfRule>
    <cfRule type="cellIs" dxfId="25" priority="3" operator="equal">
      <formula>"Blocked"</formula>
    </cfRule>
    <cfRule type="cellIs" dxfId="24" priority="4" operator="equal">
      <formula>"N/A"</formula>
    </cfRule>
  </conditionalFormatting>
  <dataValidations count="1">
    <dataValidation type="list" allowBlank="1" errorTitle="Invalid status" error="Choose Pass, Fail, Blocked or N/A" sqref="F2:F6" xr:uid="{00000000-0002-0000-0500-000000000000}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30" x14ac:dyDescent="0.25">
      <c r="A2" s="13" t="s">
        <v>214</v>
      </c>
      <c r="B2" s="14" t="s">
        <v>215</v>
      </c>
      <c r="C2" s="14" t="s">
        <v>216</v>
      </c>
      <c r="D2" s="14" t="s">
        <v>217</v>
      </c>
      <c r="E2" s="14" t="s">
        <v>218</v>
      </c>
      <c r="F2" s="15" t="s">
        <v>21</v>
      </c>
      <c r="G2" s="15"/>
      <c r="H2" s="15"/>
      <c r="I2" s="14" t="s">
        <v>320</v>
      </c>
    </row>
    <row r="3" spans="1:9" ht="30" x14ac:dyDescent="0.25">
      <c r="A3" s="13" t="s">
        <v>219</v>
      </c>
      <c r="B3" s="14" t="s">
        <v>215</v>
      </c>
      <c r="C3" s="14" t="s">
        <v>220</v>
      </c>
      <c r="D3" s="14" t="s">
        <v>221</v>
      </c>
      <c r="E3" s="14" t="s">
        <v>222</v>
      </c>
      <c r="F3" s="15" t="s">
        <v>21</v>
      </c>
      <c r="G3" s="15"/>
      <c r="H3" s="15"/>
      <c r="I3" s="14" t="s">
        <v>321</v>
      </c>
    </row>
    <row r="4" spans="1:9" ht="30" x14ac:dyDescent="0.25">
      <c r="A4" s="13" t="s">
        <v>223</v>
      </c>
      <c r="B4" s="14" t="s">
        <v>215</v>
      </c>
      <c r="C4" s="14" t="s">
        <v>224</v>
      </c>
      <c r="D4" s="14" t="s">
        <v>225</v>
      </c>
      <c r="E4" s="14" t="s">
        <v>226</v>
      </c>
      <c r="F4" s="15" t="s">
        <v>21</v>
      </c>
      <c r="G4" s="15"/>
      <c r="H4" s="15"/>
      <c r="I4" s="14" t="s">
        <v>322</v>
      </c>
    </row>
  </sheetData>
  <autoFilter ref="A1:I4" xr:uid="{00000000-0009-0000-0000-000006000000}"/>
  <conditionalFormatting sqref="F2:F4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"Blocked"</formula>
    </cfRule>
    <cfRule type="cellIs" dxfId="20" priority="4" operator="equal">
      <formula>"N/A"</formula>
    </cfRule>
  </conditionalFormatting>
  <dataValidations count="1">
    <dataValidation type="list" allowBlank="1" errorTitle="Invalid status" error="Choose Pass, Fail, Blocked or N/A" sqref="F2:F4" xr:uid="{00000000-0002-0000-0600-000000000000}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30" x14ac:dyDescent="0.25">
      <c r="A2" s="13" t="s">
        <v>227</v>
      </c>
      <c r="B2" s="14" t="s">
        <v>228</v>
      </c>
      <c r="C2" s="14" t="s">
        <v>229</v>
      </c>
      <c r="D2" s="14" t="s">
        <v>230</v>
      </c>
      <c r="E2" s="14" t="s">
        <v>231</v>
      </c>
      <c r="F2" s="15" t="s">
        <v>21</v>
      </c>
      <c r="G2" s="15"/>
      <c r="H2" s="15"/>
      <c r="I2" s="14" t="s">
        <v>323</v>
      </c>
    </row>
    <row r="3" spans="1:9" ht="60" x14ac:dyDescent="0.25">
      <c r="A3" s="13" t="s">
        <v>232</v>
      </c>
      <c r="B3" s="14" t="s">
        <v>233</v>
      </c>
      <c r="C3" s="14" t="s">
        <v>234</v>
      </c>
      <c r="D3" s="14" t="s">
        <v>235</v>
      </c>
      <c r="E3" s="14" t="s">
        <v>236</v>
      </c>
      <c r="F3" s="15" t="s">
        <v>21</v>
      </c>
      <c r="G3" s="15"/>
      <c r="H3" s="15"/>
      <c r="I3" s="14" t="s">
        <v>324</v>
      </c>
    </row>
    <row r="4" spans="1:9" ht="30" x14ac:dyDescent="0.25">
      <c r="A4" s="13" t="s">
        <v>237</v>
      </c>
      <c r="B4" s="14" t="s">
        <v>238</v>
      </c>
      <c r="C4" s="14" t="s">
        <v>239</v>
      </c>
      <c r="D4" s="14" t="s">
        <v>240</v>
      </c>
      <c r="E4" s="14" t="s">
        <v>241</v>
      </c>
      <c r="F4" s="15" t="s">
        <v>21</v>
      </c>
      <c r="G4" s="15"/>
      <c r="H4" s="15"/>
      <c r="I4" s="14" t="s">
        <v>325</v>
      </c>
    </row>
    <row r="5" spans="1:9" ht="60" x14ac:dyDescent="0.25">
      <c r="A5" s="13" t="s">
        <v>242</v>
      </c>
      <c r="B5" s="14" t="s">
        <v>243</v>
      </c>
      <c r="C5" s="14" t="s">
        <v>244</v>
      </c>
      <c r="D5" s="14" t="s">
        <v>245</v>
      </c>
      <c r="E5" s="14" t="s">
        <v>246</v>
      </c>
      <c r="F5" s="15" t="s">
        <v>21</v>
      </c>
      <c r="G5" s="15"/>
      <c r="H5" s="15"/>
      <c r="I5" s="14" t="s">
        <v>326</v>
      </c>
    </row>
    <row r="6" spans="1:9" ht="45" x14ac:dyDescent="0.25">
      <c r="A6" s="13" t="s">
        <v>247</v>
      </c>
      <c r="B6" s="14" t="s">
        <v>248</v>
      </c>
      <c r="C6" s="14" t="s">
        <v>249</v>
      </c>
      <c r="D6" s="14" t="s">
        <v>250</v>
      </c>
      <c r="E6" s="14" t="s">
        <v>251</v>
      </c>
      <c r="F6" s="15" t="s">
        <v>21</v>
      </c>
      <c r="G6" s="15"/>
      <c r="H6" s="15"/>
      <c r="I6" s="14" t="s">
        <v>327</v>
      </c>
    </row>
    <row r="7" spans="1:9" ht="30" x14ac:dyDescent="0.25">
      <c r="A7" s="13" t="s">
        <v>252</v>
      </c>
      <c r="B7" s="14" t="s">
        <v>248</v>
      </c>
      <c r="C7" s="14" t="s">
        <v>253</v>
      </c>
      <c r="D7" s="14" t="s">
        <v>254</v>
      </c>
      <c r="E7" s="14" t="s">
        <v>255</v>
      </c>
      <c r="F7" s="15" t="s">
        <v>21</v>
      </c>
      <c r="G7" s="15"/>
      <c r="H7" s="15"/>
      <c r="I7" s="14" t="s">
        <v>328</v>
      </c>
    </row>
    <row r="8" spans="1:9" ht="30" x14ac:dyDescent="0.25">
      <c r="A8" s="13" t="s">
        <v>256</v>
      </c>
      <c r="B8" s="14" t="s">
        <v>257</v>
      </c>
      <c r="C8" s="14" t="s">
        <v>258</v>
      </c>
      <c r="D8" s="14" t="s">
        <v>259</v>
      </c>
      <c r="E8" s="14" t="s">
        <v>260</v>
      </c>
      <c r="F8" s="15" t="s">
        <v>21</v>
      </c>
      <c r="G8" s="15"/>
      <c r="H8" s="15"/>
      <c r="I8" s="14" t="s">
        <v>329</v>
      </c>
    </row>
    <row r="9" spans="1:9" ht="60" x14ac:dyDescent="0.25">
      <c r="A9" s="13" t="s">
        <v>261</v>
      </c>
      <c r="B9" s="14" t="s">
        <v>262</v>
      </c>
      <c r="C9" s="14" t="s">
        <v>263</v>
      </c>
      <c r="D9" s="14" t="s">
        <v>264</v>
      </c>
      <c r="E9" s="14" t="s">
        <v>265</v>
      </c>
      <c r="F9" s="15" t="s">
        <v>21</v>
      </c>
      <c r="G9" s="15"/>
      <c r="H9" s="15"/>
      <c r="I9" s="14" t="s">
        <v>330</v>
      </c>
    </row>
    <row r="10" spans="1:9" ht="30" x14ac:dyDescent="0.25">
      <c r="A10" s="13" t="s">
        <v>266</v>
      </c>
      <c r="B10" s="14" t="s">
        <v>267</v>
      </c>
      <c r="C10" s="14" t="s">
        <v>268</v>
      </c>
      <c r="D10" s="14" t="s">
        <v>269</v>
      </c>
      <c r="E10" s="14" t="s">
        <v>270</v>
      </c>
      <c r="F10" s="15" t="s">
        <v>19</v>
      </c>
      <c r="G10" s="15"/>
      <c r="H10" s="15"/>
      <c r="I10" s="14"/>
    </row>
  </sheetData>
  <autoFilter ref="A1:I10" xr:uid="{00000000-0009-0000-0000-000007000000}"/>
  <conditionalFormatting sqref="F2:F10">
    <cfRule type="cellIs" dxfId="19" priority="1" operator="equal">
      <formula>"Pass"</formula>
    </cfRule>
    <cfRule type="cellIs" dxfId="18" priority="2" operator="equal">
      <formula>"Fail"</formula>
    </cfRule>
    <cfRule type="cellIs" dxfId="17" priority="3" operator="equal">
      <formula>"Blocked"</formula>
    </cfRule>
    <cfRule type="cellIs" dxfId="16" priority="4" operator="equal">
      <formula>"N/A"</formula>
    </cfRule>
  </conditionalFormatting>
  <dataValidations count="1">
    <dataValidation type="list" allowBlank="1" errorTitle="Invalid status" error="Choose Pass, Fail, Blocked or N/A" sqref="F2:F10" xr:uid="{00000000-0002-0000-0700-000000000000}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spans="1:9" ht="105" x14ac:dyDescent="0.25">
      <c r="A2" s="13" t="s">
        <v>271</v>
      </c>
      <c r="B2" s="14" t="s">
        <v>272</v>
      </c>
      <c r="C2" s="14" t="s">
        <v>273</v>
      </c>
      <c r="D2" s="14" t="s">
        <v>274</v>
      </c>
      <c r="E2" s="14" t="s">
        <v>275</v>
      </c>
      <c r="F2" s="15" t="s">
        <v>21</v>
      </c>
      <c r="G2" s="15"/>
      <c r="H2" s="15"/>
      <c r="I2" s="14" t="s">
        <v>331</v>
      </c>
    </row>
    <row r="3" spans="1:9" ht="30" x14ac:dyDescent="0.25">
      <c r="A3" s="13" t="s">
        <v>276</v>
      </c>
      <c r="B3" s="14" t="s">
        <v>277</v>
      </c>
      <c r="C3" s="14" t="s">
        <v>278</v>
      </c>
      <c r="D3" s="14" t="s">
        <v>279</v>
      </c>
      <c r="E3" s="14" t="s">
        <v>280</v>
      </c>
      <c r="F3" s="15" t="s">
        <v>19</v>
      </c>
      <c r="G3" s="15"/>
      <c r="H3" s="15"/>
      <c r="I3" s="14"/>
    </row>
    <row r="4" spans="1:9" ht="30" x14ac:dyDescent="0.25">
      <c r="A4" s="13" t="s">
        <v>281</v>
      </c>
      <c r="B4" s="14" t="s">
        <v>277</v>
      </c>
      <c r="C4" s="14" t="s">
        <v>282</v>
      </c>
      <c r="D4" s="14" t="s">
        <v>283</v>
      </c>
      <c r="E4" s="14" t="s">
        <v>284</v>
      </c>
      <c r="F4" s="15" t="s">
        <v>21</v>
      </c>
      <c r="G4" s="15"/>
      <c r="H4" s="15"/>
      <c r="I4" s="14"/>
    </row>
    <row r="5" spans="1:9" ht="30" x14ac:dyDescent="0.25">
      <c r="A5" s="13" t="s">
        <v>285</v>
      </c>
      <c r="B5" s="14" t="s">
        <v>286</v>
      </c>
      <c r="C5" s="14" t="s">
        <v>287</v>
      </c>
      <c r="D5" s="14" t="s">
        <v>288</v>
      </c>
      <c r="E5" s="14" t="s">
        <v>289</v>
      </c>
      <c r="F5" s="15" t="s">
        <v>21</v>
      </c>
      <c r="G5" s="15"/>
      <c r="H5" s="15"/>
      <c r="I5" s="14" t="s">
        <v>332</v>
      </c>
    </row>
    <row r="6" spans="1:9" ht="30" x14ac:dyDescent="0.25">
      <c r="A6" s="13" t="s">
        <v>290</v>
      </c>
      <c r="B6" s="14" t="s">
        <v>291</v>
      </c>
      <c r="C6" s="14" t="s">
        <v>292</v>
      </c>
      <c r="D6" s="14" t="s">
        <v>293</v>
      </c>
      <c r="E6" s="14" t="s">
        <v>294</v>
      </c>
      <c r="F6" s="15" t="s">
        <v>21</v>
      </c>
      <c r="G6" s="15"/>
      <c r="H6" s="15"/>
      <c r="I6" s="14"/>
    </row>
    <row r="7" spans="1:9" ht="30" x14ac:dyDescent="0.25">
      <c r="A7" s="13" t="s">
        <v>295</v>
      </c>
      <c r="B7" s="14" t="s">
        <v>296</v>
      </c>
      <c r="C7" s="14" t="s">
        <v>297</v>
      </c>
      <c r="D7" s="14" t="s">
        <v>298</v>
      </c>
      <c r="E7" s="14" t="s">
        <v>299</v>
      </c>
      <c r="F7" s="15" t="s">
        <v>21</v>
      </c>
      <c r="G7" s="15"/>
      <c r="H7" s="15"/>
      <c r="I7" s="14"/>
    </row>
  </sheetData>
  <autoFilter ref="A1:I7" xr:uid="{00000000-0009-0000-0000-000008000000}"/>
  <conditionalFormatting sqref="F2:F7">
    <cfRule type="cellIs" dxfId="15" priority="1" operator="equal">
      <formula>"Pass"</formula>
    </cfRule>
    <cfRule type="cellIs" dxfId="14" priority="2" operator="equal">
      <formula>"Fail"</formula>
    </cfRule>
    <cfRule type="cellIs" dxfId="13" priority="3" operator="equal">
      <formula>"Blocked"</formula>
    </cfRule>
    <cfRule type="cellIs" dxfId="12" priority="4" operator="equal">
      <formula>"N/A"</formula>
    </cfRule>
  </conditionalFormatting>
  <dataValidations count="1">
    <dataValidation type="list" allowBlank="1" errorTitle="Invalid status" error="Choose Pass, Fail, Blocked or N/A" sqref="F2:F7" xr:uid="{00000000-0002-0000-0800-000000000000}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Login &amp; Session</vt:lpstr>
      <vt:lpstr>Dashboard</vt:lpstr>
      <vt:lpstr>My Workspace</vt:lpstr>
      <vt:lpstr>User Management</vt:lpstr>
      <vt:lpstr>Roles &amp; Permissions</vt:lpstr>
      <vt:lpstr>Organisation</vt:lpstr>
      <vt:lpstr>System Administration</vt:lpstr>
      <vt:lpstr>Shell &amp;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khadiga Hany</cp:lastModifiedBy>
  <dcterms:created xsi:type="dcterms:W3CDTF">2026-06-11T18:24:29Z</dcterms:created>
  <dcterms:modified xsi:type="dcterms:W3CDTF">2026-06-11T19:10:11Z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