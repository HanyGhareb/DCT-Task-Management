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gin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My Workspace" sheetId="4" state="visible" r:id="rId4"/>
    <sheet xmlns:r="http://schemas.openxmlformats.org/officeDocument/2006/relationships" name="User Management" sheetId="5" state="visible" r:id="rId5"/>
    <sheet xmlns:r="http://schemas.openxmlformats.org/officeDocument/2006/relationships" name="Roles &amp; Permissions" sheetId="6" state="visible" r:id="rId6"/>
    <sheet xmlns:r="http://schemas.openxmlformats.org/officeDocument/2006/relationships" name="Organisation" sheetId="7" state="visible" r:id="rId7"/>
    <sheet xmlns:r="http://schemas.openxmlformats.org/officeDocument/2006/relationships" name="System Administration" sheetId="8" state="visible" r:id="rId8"/>
    <sheet xmlns:r="http://schemas.openxmlformats.org/officeDocument/2006/relationships" name="Delegations &amp; Announcements" sheetId="9" state="visible" r:id="rId9"/>
    <sheet xmlns:r="http://schemas.openxmlformats.org/officeDocument/2006/relationships" name="Shell &amp; Platform" sheetId="10" state="visible" r:id="rId10"/>
  </sheets>
  <definedNames>
    <definedName name="_xlnm._FilterDatabase" localSheetId="1" hidden="1">'Login &amp; Session'!$A$1:$J$8</definedName>
    <definedName name="_xlnm._FilterDatabase" localSheetId="2" hidden="1">'Dashboard'!$A$1:$J$5</definedName>
    <definedName name="_xlnm._FilterDatabase" localSheetId="3" hidden="1">'My Workspace'!$A$1:$J$13</definedName>
    <definedName name="_xlnm._FilterDatabase" localSheetId="4" hidden="1">'User Management'!$A$1:$J$9</definedName>
    <definedName name="_xlnm._FilterDatabase" localSheetId="5" hidden="1">'Roles &amp; Permissions'!$A$1:$J$6</definedName>
    <definedName name="_xlnm._FilterDatabase" localSheetId="6" hidden="1">'Organisation'!$A$1:$J$4</definedName>
    <definedName name="_xlnm._FilterDatabase" localSheetId="7" hidden="1">'System Administration'!$A$1:$J$10</definedName>
    <definedName name="_xlnm._FilterDatabase" localSheetId="8" hidden="1">'Delegations &amp; Announcements'!$A$1:$J$10</definedName>
    <definedName name="_xlnm._FilterDatabase" localSheetId="9" hidden="1">'Shell &amp; Platform'!$A$1:$J$8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55555"/>
    </font>
    <font>
      <i val="1"/>
      <color rgb="001A5276"/>
    </font>
    <font>
      <b val="1"/>
      <color rgb="00C74634"/>
      <sz val="18"/>
    </font>
    <font>
      <b val="1"/>
      <color rgb="00444444"/>
      <sz val="12"/>
    </font>
    <font>
      <b val="1"/>
    </font>
    <font>
      <b val="1"/>
      <color rgb="00C74634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74634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0" fillId="0" borderId="0" applyAlignment="1" pivotButton="0" quotePrefix="0" xfId="0">
      <alignment vertical="top" wrapText="1"/>
    </xf>
    <xf numFmtId="0" fontId="8" fillId="2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b val="1"/>
        <color rgb="001B5E20"/>
      </font>
      <fill>
        <patternFill patternType="solid">
          <fgColor rgb="00C8E6C9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  <dxf>
      <font>
        <color rgb="00546E7A"/>
      </font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i-Finance UAT Script</t>
        </is>
      </c>
    </row>
    <row r="3">
      <c r="B3" s="2" t="inlineStr">
        <is>
          <t>Admin (App 200) — Identity, Users, Roles, Platform Administration</t>
        </is>
      </c>
    </row>
    <row r="5">
      <c r="B5" s="3" t="inlineStr">
        <is>
          <t>Environment URL</t>
        </is>
      </c>
      <c r="C5" t="inlineStr">
        <is>
          <t>(fill in: e.g. http://localhost:8080 or the deployed URL)</t>
        </is>
      </c>
    </row>
    <row r="6">
      <c r="B6" s="3" t="inlineStr">
        <is>
          <t>Build / version date</t>
        </is>
      </c>
      <c r="C6" t="inlineStr">
        <is>
          <t>2026-06-12 (Phase 4)</t>
        </is>
      </c>
    </row>
    <row r="7">
      <c r="B7" s="3" t="inlineStr">
        <is>
          <t>UAT round</t>
        </is>
      </c>
      <c r="C7" t="inlineStr"/>
    </row>
    <row r="8">
      <c r="B8" s="3" t="inlineStr">
        <is>
          <t>Lead tester</t>
        </is>
      </c>
      <c r="C8" t="inlineStr"/>
    </row>
    <row r="9">
      <c r="B9" s="3" t="inlineStr">
        <is>
          <t>Start date</t>
        </is>
      </c>
      <c r="C9" t="inlineStr"/>
    </row>
    <row r="10">
      <c r="B10" s="3" t="inlineStr">
        <is>
          <t>End date</t>
        </is>
      </c>
      <c r="C10" t="inlineStr"/>
    </row>
    <row r="12">
      <c r="B12" s="4" t="inlineStr">
        <is>
          <t>How to test</t>
        </is>
      </c>
    </row>
    <row r="13">
      <c r="B13" t="inlineStr">
        <is>
          <t>1. Each tab is one functional area. Work top-to-bottom; one row = one test case.</t>
        </is>
      </c>
    </row>
    <row r="14">
      <c r="B14" t="inlineStr">
        <is>
          <t>2. Follow the Steps column exactly; compare the outcome with Expected Result.</t>
        </is>
      </c>
    </row>
    <row r="15">
      <c r="B15" t="inlineStr">
        <is>
          <t>2b. Sample Data / Records tells you WHICH seeded record, account or value to use — prefer it over inventing your own so results are reproducible.</t>
        </is>
      </c>
    </row>
    <row r="16">
      <c r="B16" t="inlineStr">
        <is>
          <t>3. Set Status from the dropdown: Pass / Fail / Blocked / N/A.</t>
        </is>
      </c>
    </row>
    <row r="17">
      <c r="B17" t="inlineStr">
        <is>
          <t>4. On Fail or Blocked, ALWAYS fill Comments (what happened, screenshots reference, error text).</t>
        </is>
      </c>
    </row>
    <row r="18">
      <c r="B18" t="inlineStr">
        <is>
          <t>5. Fill Tested By + Test Date on every executed row.</t>
        </is>
      </c>
    </row>
    <row r="19">
      <c r="B19" t="inlineStr">
        <is>
          <t>6. Login accounts: use the quick-login buttons on the login page, or accounts provided by the admin. Never write passwords in this file.</t>
        </is>
      </c>
    </row>
    <row r="20">
      <c r="B20" t="inlineStr">
        <is>
          <t>7. Hard-refresh (Ctrl+F5) after the team deploys a fix before retesting.</t>
        </is>
      </c>
    </row>
    <row r="22">
      <c r="B22" s="4" t="inlineStr">
        <is>
          <t>Status legend</t>
        </is>
      </c>
    </row>
    <row r="23">
      <c r="B23" s="5" t="inlineStr">
        <is>
          <t>Pass</t>
        </is>
      </c>
      <c r="C23" t="inlineStr">
        <is>
          <t>Works exactly as the Expected Result describes</t>
        </is>
      </c>
    </row>
    <row r="24">
      <c r="B24" s="6" t="inlineStr">
        <is>
          <t>Fail</t>
        </is>
      </c>
      <c r="C24" t="inlineStr">
        <is>
          <t>Does not match the Expected Result (describe in Comments)</t>
        </is>
      </c>
    </row>
    <row r="25">
      <c r="B25" s="7" t="inlineStr">
        <is>
          <t>Blocked</t>
        </is>
      </c>
      <c r="C25" t="inlineStr">
        <is>
          <t>Cannot be executed (missing data/role/dependency failed)</t>
        </is>
      </c>
    </row>
    <row r="26">
      <c r="B26" s="8" t="inlineStr">
        <is>
          <t>N/A</t>
        </is>
      </c>
      <c r="C26" t="inlineStr">
        <is>
          <t>Not applicable to this round/role</t>
        </is>
      </c>
    </row>
    <row r="28">
      <c r="B28" s="4" t="inlineStr">
        <is>
          <t>Seeded UAT data (your starting point)</t>
        </is>
      </c>
    </row>
    <row r="29" ht="30" customHeight="1">
      <c r="B29" s="9" t="inlineStr">
        <is>
          <t>- 6 test accounts exist matching the quick-login buttons: ADMIN (SYS_ADMIN), HASHEM.ALKABBI (Director/approver), NASER.ALKHAJA, AYESHA.AMERI, SHAIKHA.GALAMERI, SHAIKHA.ALSUWAIDI (managers).</t>
        </is>
      </c>
    </row>
    <row r="30" ht="30" customHeight="1">
      <c r="B30" s="9" t="inlineStr">
        <is>
          <t>- Module roles: AYESHA = Petty Cash admin/approver, HASHEM = DT approver, NASER = DT finance, SHAIKHA.GALAMERI = HR manager, SHAIKHA.ALSUWAIDI = HR viewer.</t>
        </is>
      </c>
    </row>
    <row r="32">
      <c r="B32" s="4" t="inlineStr">
        <is>
          <t>Live summary</t>
        </is>
      </c>
    </row>
    <row r="33">
      <c r="B33" s="10" t="inlineStr">
        <is>
          <t>Functional area</t>
        </is>
      </c>
      <c r="C33" s="10" t="inlineStr">
        <is>
          <t>Cases</t>
        </is>
      </c>
      <c r="D33" s="10" t="inlineStr">
        <is>
          <t>Pass</t>
        </is>
      </c>
      <c r="E33" s="10" t="inlineStr">
        <is>
          <t>Fail</t>
        </is>
      </c>
      <c r="F33" s="10" t="inlineStr">
        <is>
          <t>Blocked</t>
        </is>
      </c>
      <c r="G33" s="10" t="inlineStr">
        <is>
          <t>Executed %</t>
        </is>
      </c>
    </row>
    <row r="34">
      <c r="B34" s="11" t="inlineStr">
        <is>
          <t>Login &amp; Session</t>
        </is>
      </c>
      <c r="C34" s="11" t="n">
        <v>7</v>
      </c>
      <c r="D34" s="11">
        <f>COUNTIF('Login &amp; Session'!G:G,"Pass")</f>
        <v/>
      </c>
      <c r="E34" s="11">
        <f>COUNTIF('Login &amp; Session'!G:G,"Fail")</f>
        <v/>
      </c>
      <c r="F34" s="11">
        <f>COUNTIF('Login &amp; Session'!G:G,"Blocked")</f>
        <v/>
      </c>
      <c r="G34" s="11">
        <f>ROUND(COUNTA('Login &amp; Session'!G2:G500)/C34*100,0)&amp;"%"</f>
        <v/>
      </c>
    </row>
    <row r="35">
      <c r="B35" s="11" t="inlineStr">
        <is>
          <t>Dashboard</t>
        </is>
      </c>
      <c r="C35" s="11" t="n">
        <v>4</v>
      </c>
      <c r="D35" s="11">
        <f>COUNTIF('Dashboard'!G:G,"Pass")</f>
        <v/>
      </c>
      <c r="E35" s="11">
        <f>COUNTIF('Dashboard'!G:G,"Fail")</f>
        <v/>
      </c>
      <c r="F35" s="11">
        <f>COUNTIF('Dashboard'!G:G,"Blocked")</f>
        <v/>
      </c>
      <c r="G35" s="11">
        <f>ROUND(COUNTA('Dashboard'!G2:G500)/C35*100,0)&amp;"%"</f>
        <v/>
      </c>
    </row>
    <row r="36">
      <c r="B36" s="11" t="inlineStr">
        <is>
          <t>My Workspace</t>
        </is>
      </c>
      <c r="C36" s="11" t="n">
        <v>12</v>
      </c>
      <c r="D36" s="11">
        <f>COUNTIF('My Workspace'!G:G,"Pass")</f>
        <v/>
      </c>
      <c r="E36" s="11">
        <f>COUNTIF('My Workspace'!G:G,"Fail")</f>
        <v/>
      </c>
      <c r="F36" s="11">
        <f>COUNTIF('My Workspace'!G:G,"Blocked")</f>
        <v/>
      </c>
      <c r="G36" s="11">
        <f>ROUND(COUNTA('My Workspace'!G2:G500)/C36*100,0)&amp;"%"</f>
        <v/>
      </c>
    </row>
    <row r="37">
      <c r="B37" s="11" t="inlineStr">
        <is>
          <t>User Management</t>
        </is>
      </c>
      <c r="C37" s="11" t="n">
        <v>8</v>
      </c>
      <c r="D37" s="11">
        <f>COUNTIF('User Management'!G:G,"Pass")</f>
        <v/>
      </c>
      <c r="E37" s="11">
        <f>COUNTIF('User Management'!G:G,"Fail")</f>
        <v/>
      </c>
      <c r="F37" s="11">
        <f>COUNTIF('User Management'!G:G,"Blocked")</f>
        <v/>
      </c>
      <c r="G37" s="11">
        <f>ROUND(COUNTA('User Management'!G2:G500)/C37*100,0)&amp;"%"</f>
        <v/>
      </c>
    </row>
    <row r="38">
      <c r="B38" s="11" t="inlineStr">
        <is>
          <t>Roles &amp; Permissions</t>
        </is>
      </c>
      <c r="C38" s="11" t="n">
        <v>5</v>
      </c>
      <c r="D38" s="11">
        <f>COUNTIF('Roles &amp; Permissions'!G:G,"Pass")</f>
        <v/>
      </c>
      <c r="E38" s="11">
        <f>COUNTIF('Roles &amp; Permissions'!G:G,"Fail")</f>
        <v/>
      </c>
      <c r="F38" s="11">
        <f>COUNTIF('Roles &amp; Permissions'!G:G,"Blocked")</f>
        <v/>
      </c>
      <c r="G38" s="11">
        <f>ROUND(COUNTA('Roles &amp; Permissions'!G2:G500)/C38*100,0)&amp;"%"</f>
        <v/>
      </c>
    </row>
    <row r="39">
      <c r="B39" s="11" t="inlineStr">
        <is>
          <t>Organisation</t>
        </is>
      </c>
      <c r="C39" s="11" t="n">
        <v>3</v>
      </c>
      <c r="D39" s="11">
        <f>COUNTIF('Organisation'!G:G,"Pass")</f>
        <v/>
      </c>
      <c r="E39" s="11">
        <f>COUNTIF('Organisation'!G:G,"Fail")</f>
        <v/>
      </c>
      <c r="F39" s="11">
        <f>COUNTIF('Organisation'!G:G,"Blocked")</f>
        <v/>
      </c>
      <c r="G39" s="11">
        <f>ROUND(COUNTA('Organisation'!G2:G500)/C39*100,0)&amp;"%"</f>
        <v/>
      </c>
    </row>
    <row r="40">
      <c r="B40" s="11" t="inlineStr">
        <is>
          <t>System Administration</t>
        </is>
      </c>
      <c r="C40" s="11" t="n">
        <v>9</v>
      </c>
      <c r="D40" s="11">
        <f>COUNTIF('System Administration'!G:G,"Pass")</f>
        <v/>
      </c>
      <c r="E40" s="11">
        <f>COUNTIF('System Administration'!G:G,"Fail")</f>
        <v/>
      </c>
      <c r="F40" s="11">
        <f>COUNTIF('System Administration'!G:G,"Blocked")</f>
        <v/>
      </c>
      <c r="G40" s="11">
        <f>ROUND(COUNTA('System Administration'!G2:G500)/C40*100,0)&amp;"%"</f>
        <v/>
      </c>
    </row>
    <row r="41">
      <c r="B41" s="11" t="inlineStr">
        <is>
          <t>Delegations &amp; Announcements</t>
        </is>
      </c>
      <c r="C41" s="11" t="n">
        <v>9</v>
      </c>
      <c r="D41" s="11">
        <f>COUNTIF('Delegations &amp; Announcements'!G:G,"Pass")</f>
        <v/>
      </c>
      <c r="E41" s="11">
        <f>COUNTIF('Delegations &amp; Announcements'!G:G,"Fail")</f>
        <v/>
      </c>
      <c r="F41" s="11">
        <f>COUNTIF('Delegations &amp; Announcements'!G:G,"Blocked")</f>
        <v/>
      </c>
      <c r="G41" s="11">
        <f>ROUND(COUNTA('Delegations &amp; Announcements'!G2:G500)/C41*100,0)&amp;"%"</f>
        <v/>
      </c>
    </row>
    <row r="42">
      <c r="B42" s="11" t="inlineStr">
        <is>
          <t>Shell &amp; Platform</t>
        </is>
      </c>
      <c r="C42" s="11" t="n">
        <v>7</v>
      </c>
      <c r="D42" s="11">
        <f>COUNTIF('Shell &amp; Platform'!G:G,"Pass")</f>
        <v/>
      </c>
      <c r="E42" s="11">
        <f>COUNTIF('Shell &amp; Platform'!G:G,"Fail")</f>
        <v/>
      </c>
      <c r="F42" s="11">
        <f>COUNTIF('Shell &amp; Platform'!G:G,"Blocked")</f>
        <v/>
      </c>
      <c r="G42" s="11">
        <f>ROUND(COUNTA('Shell &amp; Platform'!G2:G500)/C42*100,0)&amp;"%"</f>
        <v/>
      </c>
    </row>
    <row r="43">
      <c r="B43" s="12" t="inlineStr">
        <is>
          <t>TOTAL</t>
        </is>
      </c>
      <c r="C43" s="12">
        <f>SUM(C34:C42)</f>
        <v/>
      </c>
      <c r="D43" s="12">
        <f>SUM(D34:D42)</f>
        <v/>
      </c>
      <c r="E43" s="12">
        <f>SUM(E34:E42)</f>
        <v/>
      </c>
      <c r="F43" s="12">
        <f>SUM(F34:F42)</f>
        <v/>
      </c>
    </row>
  </sheetData>
  <mergeCells count="20">
    <mergeCell ref="C6:G6"/>
    <mergeCell ref="B14:G14"/>
    <mergeCell ref="C24:G24"/>
    <mergeCell ref="B17:G17"/>
    <mergeCell ref="C5:G5"/>
    <mergeCell ref="B13:G13"/>
    <mergeCell ref="B29:G29"/>
    <mergeCell ref="C26:G26"/>
    <mergeCell ref="B19:G19"/>
    <mergeCell ref="C10:G10"/>
    <mergeCell ref="C25:G25"/>
    <mergeCell ref="B30:G30"/>
    <mergeCell ref="C9:G9"/>
    <mergeCell ref="B15:G15"/>
    <mergeCell ref="B20:G20"/>
    <mergeCell ref="C23:G23"/>
    <mergeCell ref="C8:G8"/>
    <mergeCell ref="B16:G16"/>
    <mergeCell ref="C7:G7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ADMIN-LOG-01</t>
        </is>
      </c>
      <c r="B2" s="15" t="inlineStr">
        <is>
          <t>Login</t>
        </is>
      </c>
      <c r="C2" s="15" t="inlineStr">
        <is>
          <t>Valid login</t>
        </is>
      </c>
      <c r="D2" s="15" t="inlineStr">
        <is>
          <t>1. Open the app URL
2. Enter a valid username + password (or use a quick-login button)
3. Click Sign In</t>
        </is>
      </c>
      <c r="E2" s="16" t="inlineStr">
        <is>
          <t>Quick-login: System Admin (ADMIN)</t>
        </is>
      </c>
      <c r="F2" s="15" t="inlineStr">
        <is>
          <t>Dashboard opens; top bar shows your name and avatar initials; side navigation matches your role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ADMIN-LOG-02</t>
        </is>
      </c>
      <c r="B3" s="15" t="inlineStr">
        <is>
          <t>Login</t>
        </is>
      </c>
      <c r="C3" s="15" t="inlineStr">
        <is>
          <t>Invalid password</t>
        </is>
      </c>
      <c r="D3" s="15" t="inlineStr">
        <is>
          <t>1. Enter a valid username with a wrong password
2. Click Sign In</t>
        </is>
      </c>
      <c r="E3" s="16" t="inlineStr">
        <is>
          <t>Username ADMIN + any wrong password</t>
        </is>
      </c>
      <c r="F3" s="15" t="inlineStr">
        <is>
          <t>Error message 'Invalid credentials or account inactive'; stays on login page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ADMIN-LOG-03</t>
        </is>
      </c>
      <c r="B4" s="15" t="inlineStr">
        <is>
          <t>Login</t>
        </is>
      </c>
      <c r="C4" s="15" t="inlineStr">
        <is>
          <t>Inactive account</t>
        </is>
      </c>
      <c r="D4" s="15" t="inlineStr">
        <is>
          <t>1. Login with a deactivated account (ask admin to deactivate a test user first)</t>
        </is>
      </c>
      <c r="E4" s="16" t="inlineStr">
        <is>
          <t>Create + deactivate UAT.TESTER1 first (User Management)</t>
        </is>
      </c>
      <c r="F4" s="15" t="inlineStr">
        <is>
          <t>Login refused with the same generic error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ADMIN-LOG-04</t>
        </is>
      </c>
      <c r="B5" s="15" t="inlineStr">
        <is>
          <t>Session</t>
        </is>
      </c>
      <c r="C5" s="15" t="inlineStr">
        <is>
          <t>Refresh keeps session</t>
        </is>
      </c>
      <c r="D5" s="15" t="inlineStr">
        <is>
          <t>1. Login
2. Press F5 / Ctrl+F5 on any page</t>
        </is>
      </c>
      <c r="E5" s="16" t="inlineStr">
        <is>
          <t>Quick-login buttons on the login page (ADMIN, HASHEM.ALKABBI, NASER.ALKHAJA…)</t>
        </is>
      </c>
      <c r="F5" s="15" t="inlineStr">
        <is>
          <t>Still logged in; same page or dashboard reopens (no login prompt)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ADMIN-LOG-05</t>
        </is>
      </c>
      <c r="B6" s="15" t="inlineStr">
        <is>
          <t>Session</t>
        </is>
      </c>
      <c r="C6" s="15" t="inlineStr">
        <is>
          <t>Deep link without session</t>
        </is>
      </c>
      <c r="D6" s="15" t="inlineStr">
        <is>
          <t>1. Logout
2. Open the app URL again</t>
        </is>
      </c>
      <c r="E6" s="16" t="inlineStr">
        <is>
          <t>Quick-login buttons on the login page (ADMIN, HASHEM.ALKABBI, NASER.ALKHAJA…)</t>
        </is>
      </c>
      <c r="F6" s="15" t="inlineStr">
        <is>
          <t>Login page shown; no app content visible before login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ADMIN-LOG-06</t>
        </is>
      </c>
      <c r="B7" s="15" t="inlineStr">
        <is>
          <t>Logout</t>
        </is>
      </c>
      <c r="C7" s="15" t="inlineStr">
        <is>
          <t>Logout clears session</t>
        </is>
      </c>
      <c r="D7" s="15" t="inlineStr">
        <is>
          <t>1. Click your avatar (top-right) &gt; Logout
2. Press Back in the browser</t>
        </is>
      </c>
      <c r="E7" s="16" t="inlineStr">
        <is>
          <t>Quick-login buttons on the login page (ADMIN, HASHEM.ALKABBI, NASER.ALKHAJA…)</t>
        </is>
      </c>
      <c r="F7" s="15" t="inlineStr">
        <is>
          <t>Returned to login; Back does not re-enter the app with data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ADMIN-LOG-07</t>
        </is>
      </c>
      <c r="B8" s="15" t="inlineStr">
        <is>
          <t>Login</t>
        </is>
      </c>
      <c r="C8" s="15" t="inlineStr">
        <is>
          <t>Arabic login page</t>
        </is>
      </c>
      <c r="D8" s="15" t="inlineStr">
        <is>
          <t>1. On the login page switch language to AR (ع)
2. Login</t>
        </is>
      </c>
      <c r="E8" s="16" t="inlineStr">
        <is>
          <t>Quick-login buttons on the login page (ADMIN, HASHEM.ALKABBI, NASER.ALKHAJA…)</t>
        </is>
      </c>
      <c r="F8" s="15" t="inlineStr">
        <is>
          <t>Login page is mirrored (RTL) with Arabic labels; after login the app stays in Arabic</t>
        </is>
      </c>
      <c r="G8" s="17" t="inlineStr"/>
      <c r="H8" s="17" t="inlineStr"/>
      <c r="I8" s="17" t="inlineStr"/>
      <c r="J8" s="15" t="inlineStr"/>
    </row>
  </sheetData>
  <autoFilter ref="A1:J8"/>
  <conditionalFormatting sqref="G2:G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8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ADMIN-DSH-01</t>
        </is>
      </c>
      <c r="B2" s="15" t="inlineStr">
        <is>
          <t>Headline counts</t>
        </is>
      </c>
      <c r="C2" s="15" t="inlineStr">
        <is>
          <t>Stats cards show live numbers</t>
        </is>
      </c>
      <c r="D2" s="15" t="inlineStr">
        <is>
          <t>1. Open Home/Dashboard
2. Compare 'Users' count with the Users list total</t>
        </is>
      </c>
      <c r="E2" s="15" t="inlineStr"/>
      <c r="F2" s="15" t="inlineStr">
        <is>
          <t>Cards show non-zero sensible numbers; users count matches the Users page total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ADMIN-DSH-02</t>
        </is>
      </c>
      <c r="B3" s="15" t="inlineStr">
        <is>
          <t>Charts</t>
        </is>
      </c>
      <c r="C3" s="15" t="inlineStr">
        <is>
          <t>Both charts render</t>
        </is>
      </c>
      <c r="D3" s="15" t="inlineStr">
        <is>
          <t>1. Open Dashboard
2. Wait for charts to load</t>
        </is>
      </c>
      <c r="E3" s="15" t="inlineStr"/>
      <c r="F3" s="15" t="inlineStr">
        <is>
          <t>Approval cycle-time bar chart + 30-day activity line chart render with axes and legend; no empty boxes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ADMIN-DSH-03</t>
        </is>
      </c>
      <c r="B4" s="15" t="inlineStr">
        <is>
          <t>Charts</t>
        </is>
      </c>
      <c r="C4" s="15" t="inlineStr">
        <is>
          <t>Charts survive navigation</t>
        </is>
      </c>
      <c r="D4" s="15" t="inlineStr">
        <is>
          <t>1. Open Dashboard
2. Navigate to Users, then back to Dashboard</t>
        </is>
      </c>
      <c r="E4" s="15" t="inlineStr"/>
      <c r="F4" s="15" t="inlineStr">
        <is>
          <t>Charts render again correctly (not blank, not duplicated)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ADMIN-DSH-04</t>
        </is>
      </c>
      <c r="B5" s="15" t="inlineStr">
        <is>
          <t>Loading states</t>
        </is>
      </c>
      <c r="C5" s="15" t="inlineStr">
        <is>
          <t>Skeleton then data</t>
        </is>
      </c>
      <c r="D5" s="15" t="inlineStr">
        <is>
          <t>1. Hard-refresh (Ctrl+F5) on Dashboard</t>
        </is>
      </c>
      <c r="E5" s="15" t="inlineStr"/>
      <c r="F5" s="15" t="inlineStr">
        <is>
          <t>Brief skeleton/placeholder shown, then real data; no flash of errors</t>
        </is>
      </c>
      <c r="G5" s="17" t="inlineStr"/>
      <c r="H5" s="17" t="inlineStr"/>
      <c r="I5" s="17" t="inlineStr"/>
      <c r="J5" s="15" t="inlineStr"/>
    </row>
  </sheetData>
  <autoFilter ref="A1:J5"/>
  <conditionalFormatting sqref="G2:G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5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ADMIN-WSP-01</t>
        </is>
      </c>
      <c r="B2" s="15" t="inlineStr">
        <is>
          <t>My Profile</t>
        </is>
      </c>
      <c r="C2" s="15" t="inlineStr">
        <is>
          <t>Profile loads current data</t>
        </is>
      </c>
      <c r="D2" s="15" t="inlineStr">
        <is>
          <t>1. Go to My Workspace &gt; My Profile</t>
        </is>
      </c>
      <c r="E2" s="15" t="inlineStr"/>
      <c r="F2" s="15" t="inlineStr">
        <is>
          <t>Display names, email, phone, employee number, organisation are the CURRENT values from the server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ADMIN-WSP-02</t>
        </is>
      </c>
      <c r="B3" s="15" t="inlineStr">
        <is>
          <t>My Profile</t>
        </is>
      </c>
      <c r="C3" s="15" t="inlineStr">
        <is>
          <t>Update phone persists</t>
        </is>
      </c>
      <c r="D3" s="15" t="inlineStr">
        <is>
          <t>1. Change Phone
2. Click Save Profile
3. Hard-refresh (Ctrl+F5) and reopen My Profile</t>
        </is>
      </c>
      <c r="E3" s="16" t="inlineStr">
        <is>
          <t>Phone: +97150 000 1234 (restore the original after)</t>
        </is>
      </c>
      <c r="F3" s="15" t="inlineStr">
        <is>
          <t>Success banner on save; after refresh the NEW phone is still shown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ADMIN-WSP-03</t>
        </is>
      </c>
      <c r="B4" s="15" t="inlineStr">
        <is>
          <t>My Profile</t>
        </is>
      </c>
      <c r="C4" s="15" t="inlineStr">
        <is>
          <t>Update Arabic display name</t>
        </is>
      </c>
      <c r="D4" s="15" t="inlineStr">
        <is>
          <t>1. Edit Display Name (Arabic)
2. Save
3. Refresh and recheck</t>
        </is>
      </c>
      <c r="E4" s="15" t="inlineStr"/>
      <c r="F4" s="15" t="inlineStr">
        <is>
          <t>Arabic name saved and persists; shown RTL in the field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ADMIN-WSP-04</t>
        </is>
      </c>
      <c r="B5" s="15" t="inlineStr">
        <is>
          <t>My Profile</t>
        </is>
      </c>
      <c r="C5" s="15" t="inlineStr">
        <is>
          <t>Employee number not lost</t>
        </is>
      </c>
      <c r="D5" s="15" t="inlineStr">
        <is>
          <t>1. Note your Employee Number
2. Change phone and Save Profile
3. Refresh</t>
        </is>
      </c>
      <c r="E5" s="15" t="inlineStr"/>
      <c r="F5" s="15" t="inlineStr">
        <is>
          <t>Employee Number is unchanged after a profile save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ADMIN-WSP-05</t>
        </is>
      </c>
      <c r="B6" s="15" t="inlineStr">
        <is>
          <t>My Profile</t>
        </is>
      </c>
      <c r="C6" s="15" t="inlineStr">
        <is>
          <t>Upload photo</t>
        </is>
      </c>
      <c r="D6" s="15" t="inlineStr">
        <is>
          <t>1. Click Change Photo
2. Pick a JPG/PNG (any size)
3. Wait for upload</t>
        </is>
      </c>
      <c r="E6" s="16" t="inlineStr">
        <is>
          <t>Any JPG/PNG photo file</t>
        </is>
      </c>
      <c r="F6" s="15" t="inlineStr">
        <is>
          <t>File picker opens; avatar shows the photo; photo still there after Ctrl+F5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ADMIN-WSP-06</t>
        </is>
      </c>
      <c r="B7" s="15" t="inlineStr">
        <is>
          <t>My Profile</t>
        </is>
      </c>
      <c r="C7" s="15" t="inlineStr">
        <is>
          <t>Replace photo</t>
        </is>
      </c>
      <c r="D7" s="15" t="inlineStr">
        <is>
          <t>1. Upload a different photo over the existing one</t>
        </is>
      </c>
      <c r="E7" s="15" t="inlineStr"/>
      <c r="F7" s="15" t="inlineStr">
        <is>
          <t>New photo replaces the old one without errors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ADMIN-WSP-07</t>
        </is>
      </c>
      <c r="B8" s="15" t="inlineStr">
        <is>
          <t>Change password</t>
        </is>
      </c>
      <c r="C8" s="15" t="inlineStr">
        <is>
          <t>Happy path</t>
        </is>
      </c>
      <c r="D8" s="15" t="inlineStr">
        <is>
          <t>1. In Change Password enter a new valid password twice
2. Submit
3. Logout and login with the NEW password
4. Change it back</t>
        </is>
      </c>
      <c r="E8" s="15" t="inlineStr"/>
      <c r="F8" s="15" t="inlineStr">
        <is>
          <t>Success message; old password no longer works; new one does</t>
        </is>
      </c>
      <c r="G8" s="17" t="inlineStr"/>
      <c r="H8" s="17" t="inlineStr"/>
      <c r="I8" s="17" t="inlineStr"/>
      <c r="J8" s="15" t="inlineStr"/>
    </row>
    <row r="9">
      <c r="A9" s="14" t="inlineStr">
        <is>
          <t>ADMIN-WSP-08</t>
        </is>
      </c>
      <c r="B9" s="15" t="inlineStr">
        <is>
          <t>Change password</t>
        </is>
      </c>
      <c r="C9" s="15" t="inlineStr">
        <is>
          <t>Validation</t>
        </is>
      </c>
      <c r="D9" s="15" t="inlineStr">
        <is>
          <t>1. Try mismatching passwords
2. Try a password shorter than 8 characters</t>
        </is>
      </c>
      <c r="E9" s="15" t="inlineStr"/>
      <c r="F9" s="15" t="inlineStr">
        <is>
          <t>Clear validation errors; nothing saved</t>
        </is>
      </c>
      <c r="G9" s="17" t="inlineStr"/>
      <c r="H9" s="17" t="inlineStr"/>
      <c r="I9" s="17" t="inlineStr"/>
      <c r="J9" s="15" t="inlineStr"/>
    </row>
    <row r="10">
      <c r="A10" s="14" t="inlineStr">
        <is>
          <t>ADMIN-WSP-09</t>
        </is>
      </c>
      <c r="B10" s="15" t="inlineStr">
        <is>
          <t>Notifications</t>
        </is>
      </c>
      <c r="C10" s="15" t="inlineStr">
        <is>
          <t>List + unread badge</t>
        </is>
      </c>
      <c r="D10" s="15" t="inlineStr">
        <is>
          <t>1. Open Notifications
2. Compare the bell badge count with unread rows</t>
        </is>
      </c>
      <c r="E10" s="15" t="inlineStr"/>
      <c r="F10" s="15" t="inlineStr">
        <is>
          <t>List loads; badge equals the number of unread notifications</t>
        </is>
      </c>
      <c r="G10" s="17" t="inlineStr"/>
      <c r="H10" s="17" t="inlineStr"/>
      <c r="I10" s="17" t="inlineStr"/>
      <c r="J10" s="15" t="inlineStr"/>
    </row>
    <row r="11">
      <c r="A11" s="14" t="inlineStr">
        <is>
          <t>ADMIN-WSP-10</t>
        </is>
      </c>
      <c r="B11" s="15" t="inlineStr">
        <is>
          <t>Notifications</t>
        </is>
      </c>
      <c r="C11" s="15" t="inlineStr">
        <is>
          <t>Mark as read</t>
        </is>
      </c>
      <c r="D11" s="15" t="inlineStr">
        <is>
          <t>1. Mark one notification as read</t>
        </is>
      </c>
      <c r="E11" s="15" t="inlineStr"/>
      <c r="F11" s="15" t="inlineStr">
        <is>
          <t>Row state changes; bell badge count decreases by 1</t>
        </is>
      </c>
      <c r="G11" s="17" t="inlineStr"/>
      <c r="H11" s="17" t="inlineStr"/>
      <c r="I11" s="17" t="inlineStr"/>
      <c r="J11" s="15" t="inlineStr"/>
    </row>
    <row r="12">
      <c r="A12" s="14" t="inlineStr">
        <is>
          <t>ADMIN-WSP-11</t>
        </is>
      </c>
      <c r="B12" s="15" t="inlineStr">
        <is>
          <t>Pending approvals</t>
        </is>
      </c>
      <c r="C12" s="15" t="inlineStr">
        <is>
          <t>My queue</t>
        </is>
      </c>
      <c r="D12" s="15" t="inlineStr">
        <is>
          <t>1. Open Pending Approvals (use an approver account with pending items)</t>
        </is>
      </c>
      <c r="E12" s="15" t="inlineStr"/>
      <c r="F12" s="15" t="inlineStr">
        <is>
          <t>Only items waiting for YOUR approval are listed with module, requester, date</t>
        </is>
      </c>
      <c r="G12" s="17" t="inlineStr"/>
      <c r="H12" s="17" t="inlineStr"/>
      <c r="I12" s="17" t="inlineStr"/>
      <c r="J12" s="15" t="inlineStr"/>
    </row>
    <row r="13">
      <c r="A13" s="14" t="inlineStr">
        <is>
          <t>ADMIN-WSP-12</t>
        </is>
      </c>
      <c r="B13" s="15" t="inlineStr">
        <is>
          <t>Pending approvals</t>
        </is>
      </c>
      <c r="C13" s="15" t="inlineStr">
        <is>
          <t>Approve / reject</t>
        </is>
      </c>
      <c r="D13" s="15" t="inlineStr">
        <is>
          <t>1. Approve one item
2. Reject another with a comment</t>
        </is>
      </c>
      <c r="E13" s="15" t="inlineStr"/>
      <c r="F13" s="15" t="inlineStr">
        <is>
          <t>Items leave the queue; requester gets a notification; status history updated</t>
        </is>
      </c>
      <c r="G13" s="17" t="inlineStr"/>
      <c r="H13" s="17" t="inlineStr"/>
      <c r="I13" s="17" t="inlineStr"/>
      <c r="J13" s="15" t="inlineStr"/>
    </row>
  </sheetData>
  <autoFilter ref="A1:J13"/>
  <conditionalFormatting sqref="G2:G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1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ADMIN-USR-01</t>
        </is>
      </c>
      <c r="B2" s="15" t="inlineStr">
        <is>
          <t>Users list</t>
        </is>
      </c>
      <c r="C2" s="15" t="inlineStr">
        <is>
          <t>Server pagination</t>
        </is>
      </c>
      <c r="D2" s="15" t="inlineStr">
        <is>
          <t>1. Open Users
2. Check the pager caption (e.g. '1-50 of N')
3. Click next page</t>
        </is>
      </c>
      <c r="E2" s="15" t="inlineStr"/>
      <c r="F2" s="15" t="inlineStr">
        <is>
          <t>Counts are correct; next page loads different rows; pager updates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ADMIN-USR-02</t>
        </is>
      </c>
      <c r="B3" s="15" t="inlineStr">
        <is>
          <t>Users list</t>
        </is>
      </c>
      <c r="C3" s="15" t="inlineStr">
        <is>
          <t>Search</t>
        </is>
      </c>
      <c r="D3" s="15" t="inlineStr">
        <is>
          <t>1. Type part of a name/username in search
2. Pause typing</t>
        </is>
      </c>
      <c r="E3" s="15" t="inlineStr"/>
      <c r="F3" s="15" t="inlineStr">
        <is>
          <t>List filters after a short delay (server search); count updates; clearing search restores the full list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ADMIN-USR-03</t>
        </is>
      </c>
      <c r="B4" s="15" t="inlineStr">
        <is>
          <t>Users list</t>
        </is>
      </c>
      <c r="C4" s="15" t="inlineStr">
        <is>
          <t>Status filter</t>
        </is>
      </c>
      <c r="D4" s="15" t="inlineStr">
        <is>
          <t>1. Filter by Active, then Inactive</t>
        </is>
      </c>
      <c r="E4" s="15" t="inlineStr"/>
      <c r="F4" s="15" t="inlineStr">
        <is>
          <t>Only matching users shown each time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ADMIN-USR-04</t>
        </is>
      </c>
      <c r="B5" s="15" t="inlineStr">
        <is>
          <t>Create user</t>
        </is>
      </c>
      <c r="C5" s="15" t="inlineStr">
        <is>
          <t>Happy path</t>
        </is>
      </c>
      <c r="D5" s="15" t="inlineStr">
        <is>
          <t>1. Click New User
2. Fill username, names, email, org, role(s), password
3. Save
4. Logout and login as the new user</t>
        </is>
      </c>
      <c r="E5" s="16" t="inlineStr">
        <is>
          <t>Username UAT.TESTER1 · role PLATFORM_USER · org Finance Division</t>
        </is>
      </c>
      <c r="F5" s="15" t="inlineStr">
        <is>
          <t>User created and appears in the list; new user can login and sees role-appropriate navigation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ADMIN-USR-05</t>
        </is>
      </c>
      <c r="B6" s="15" t="inlineStr">
        <is>
          <t>Create user</t>
        </is>
      </c>
      <c r="C6" s="15" t="inlineStr">
        <is>
          <t>Duplicate username</t>
        </is>
      </c>
      <c r="D6" s="15" t="inlineStr">
        <is>
          <t>1. Create a user with an existing username</t>
        </is>
      </c>
      <c r="E6" s="16" t="inlineStr">
        <is>
          <t>Existing username: NASER.ALKHAJA</t>
        </is>
      </c>
      <c r="F6" s="15" t="inlineStr">
        <is>
          <t>Clear error; no duplicate created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ADMIN-USR-06</t>
        </is>
      </c>
      <c r="B7" s="15" t="inlineStr">
        <is>
          <t>Edit user</t>
        </is>
      </c>
      <c r="C7" s="15" t="inlineStr">
        <is>
          <t>Change roles</t>
        </is>
      </c>
      <c r="D7" s="15" t="inlineStr">
        <is>
          <t>1. Edit a test user
2. Add/remove a role
3. Save
4. Login as that user</t>
        </is>
      </c>
      <c r="E7" s="16" t="inlineStr">
        <is>
          <t>Test user UAT.TESTER1 — add/remove AUDITOR</t>
        </is>
      </c>
      <c r="F7" s="15" t="inlineStr">
        <is>
          <t>Saved roles reflected; navigation/permissions change accordingly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ADMIN-USR-07</t>
        </is>
      </c>
      <c r="B8" s="15" t="inlineStr">
        <is>
          <t>Edit user</t>
        </is>
      </c>
      <c r="C8" s="15" t="inlineStr">
        <is>
          <t>Edit fields</t>
        </is>
      </c>
      <c r="D8" s="15" t="inlineStr">
        <is>
          <t>1. Edit display names / email / phone / employee number / org
2. Save and reopen</t>
        </is>
      </c>
      <c r="E8" s="15" t="inlineStr"/>
      <c r="F8" s="15" t="inlineStr">
        <is>
          <t>All edited values persisted and shown</t>
        </is>
      </c>
      <c r="G8" s="17" t="inlineStr"/>
      <c r="H8" s="17" t="inlineStr"/>
      <c r="I8" s="17" t="inlineStr"/>
      <c r="J8" s="15" t="inlineStr"/>
    </row>
    <row r="9">
      <c r="A9" s="14" t="inlineStr">
        <is>
          <t>ADMIN-USR-08</t>
        </is>
      </c>
      <c r="B9" s="15" t="inlineStr">
        <is>
          <t>Deactivate</t>
        </is>
      </c>
      <c r="C9" s="15" t="inlineStr">
        <is>
          <t>Deactivate + reactivate</t>
        </is>
      </c>
      <c r="D9" s="15" t="inlineStr">
        <is>
          <t>1. Deactivate a test user
2. Try logging in as them
3. Reactivate</t>
        </is>
      </c>
      <c r="E9" s="15" t="inlineStr"/>
      <c r="F9" s="15" t="inlineStr">
        <is>
          <t>Deactivated user cannot login; after reactivation they can</t>
        </is>
      </c>
      <c r="G9" s="17" t="inlineStr"/>
      <c r="H9" s="17" t="inlineStr"/>
      <c r="I9" s="17" t="inlineStr"/>
      <c r="J9" s="15" t="inlineStr"/>
    </row>
  </sheetData>
  <autoFilter ref="A1:J9"/>
  <conditionalFormatting sqref="G2:G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9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ADMIN-ROL-01</t>
        </is>
      </c>
      <c r="B2" s="15" t="inlineStr">
        <is>
          <t>Roles list</t>
        </is>
      </c>
      <c r="C2" s="15" t="inlineStr">
        <is>
          <t>Vault list renders</t>
        </is>
      </c>
      <c r="D2" s="15" t="inlineStr">
        <is>
          <t>1. Open Roles</t>
        </is>
      </c>
      <c r="E2" s="15" t="inlineStr"/>
      <c r="F2" s="15" t="inlineStr">
        <is>
          <t>Dark 'Vault' page lists roles with code, type, member count, active state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ADMIN-ROL-02</t>
        </is>
      </c>
      <c r="B3" s="15" t="inlineStr">
        <is>
          <t>Create role</t>
        </is>
      </c>
      <c r="C3" s="15" t="inlineStr">
        <is>
          <t>New role</t>
        </is>
      </c>
      <c r="D3" s="15" t="inlineStr">
        <is>
          <t>1. Create a role with code + names
2. Save</t>
        </is>
      </c>
      <c r="E3" s="16" t="inlineStr">
        <is>
          <t>Code UAT_ROLE1, name 'UAT Test Role' (delete/deactivate after)</t>
        </is>
      </c>
      <c r="F3" s="15" t="inlineStr">
        <is>
          <t>Role appears in the list; audit entry recorded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ADMIN-ROL-03</t>
        </is>
      </c>
      <c r="B4" s="15" t="inlineStr">
        <is>
          <t>Edit role</t>
        </is>
      </c>
      <c r="C4" s="15" t="inlineStr">
        <is>
          <t>Assign permissions</t>
        </is>
      </c>
      <c r="D4" s="15" t="inlineStr">
        <is>
          <t>1. Open a role
2. Toggle several permissions on/off
3. Save
4. Reopen</t>
        </is>
      </c>
      <c r="E4" s="15" t="inlineStr"/>
      <c r="F4" s="15" t="inlineStr">
        <is>
          <t>Saved toggles persist; member count unchanged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ADMIN-ROL-04</t>
        </is>
      </c>
      <c r="B5" s="15" t="inlineStr">
        <is>
          <t>Permission matrix</t>
        </is>
      </c>
      <c r="C5" s="15" t="inlineStr">
        <is>
          <t>Matrix view</t>
        </is>
      </c>
      <c r="D5" s="15" t="inlineStr">
        <is>
          <t>1. Open Permissions
2. Locate a role column and toggle a cell
3. Save</t>
        </is>
      </c>
      <c r="E5" s="15" t="inlineStr"/>
      <c r="F5" s="15" t="inlineStr">
        <is>
          <t>Matrix shows roles x permissions; toggle animates; change persists after reload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ADMIN-ROL-05</t>
        </is>
      </c>
      <c r="B6" s="15" t="inlineStr">
        <is>
          <t>Permissions</t>
        </is>
      </c>
      <c r="C6" s="15" t="inlineStr">
        <is>
          <t>Effect on user</t>
        </is>
      </c>
      <c r="D6" s="15" t="inlineStr">
        <is>
          <t>1. Remove a permission from a role
2. Login as a user with ONLY that role</t>
        </is>
      </c>
      <c r="E6" s="15" t="inlineStr"/>
      <c r="F6" s="15" t="inlineStr">
        <is>
          <t>Corresponding function is hidden/refused for that user (restore afterwards)</t>
        </is>
      </c>
      <c r="G6" s="17" t="inlineStr"/>
      <c r="H6" s="17" t="inlineStr"/>
      <c r="I6" s="17" t="inlineStr"/>
      <c r="J6" s="15" t="inlineStr"/>
    </row>
  </sheetData>
  <autoFilter ref="A1:J6"/>
  <conditionalFormatting sqref="G2:G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6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ADMIN-ORG-01</t>
        </is>
      </c>
      <c r="B2" s="15" t="inlineStr">
        <is>
          <t>Hierarchy</t>
        </is>
      </c>
      <c r="C2" s="15" t="inlineStr">
        <is>
          <t>Tree renders</t>
        </is>
      </c>
      <c r="D2" s="15" t="inlineStr">
        <is>
          <t>1. Open Org Hierarchy</t>
        </is>
      </c>
      <c r="E2" s="15" t="inlineStr"/>
      <c r="F2" s="15" t="inlineStr">
        <is>
          <t>Organisation tree shows with expand/collapse; correct parent-child structure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ADMIN-ORG-02</t>
        </is>
      </c>
      <c r="B3" s="15" t="inlineStr">
        <is>
          <t>Hierarchy</t>
        </is>
      </c>
      <c r="C3" s="15" t="inlineStr">
        <is>
          <t>Add unit</t>
        </is>
      </c>
      <c r="D3" s="15" t="inlineStr">
        <is>
          <t>1. Add a child org unit (EN + AR names)
2. Save</t>
        </is>
      </c>
      <c r="E3" s="15" t="inlineStr"/>
      <c r="F3" s="15" t="inlineStr">
        <is>
          <t>New unit appears under its parent; available in user org dropdown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ADMIN-ORG-03</t>
        </is>
      </c>
      <c r="B4" s="15" t="inlineStr">
        <is>
          <t>Hierarchy</t>
        </is>
      </c>
      <c r="C4" s="15" t="inlineStr">
        <is>
          <t>Edit / deactivate unit</t>
        </is>
      </c>
      <c r="D4" s="15" t="inlineStr">
        <is>
          <t>1. Rename a test unit
2. Deactivate it</t>
        </is>
      </c>
      <c r="E4" s="15" t="inlineStr"/>
      <c r="F4" s="15" t="inlineStr">
        <is>
          <t>Rename persists; deactivated unit flagged and not offered for new users</t>
        </is>
      </c>
      <c r="G4" s="17" t="inlineStr"/>
      <c r="H4" s="17" t="inlineStr"/>
      <c r="I4" s="17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ADMIN-SYS-01</t>
        </is>
      </c>
      <c r="B2" s="15" t="inlineStr">
        <is>
          <t>Module registry</t>
        </is>
      </c>
      <c r="C2" s="15" t="inlineStr">
        <is>
          <t>List + toggle</t>
        </is>
      </c>
      <c r="D2" s="15" t="inlineStr">
        <is>
          <t>1. Open Module Registry
2. Toggle a non-critical module inactive and back</t>
        </is>
      </c>
      <c r="E2" s="15" t="inlineStr"/>
      <c r="F2" s="15" t="inlineStr">
        <is>
          <t>Modules (PC/DT/HR/FL/CC...) listed with status; toggle persists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ADMIN-SYS-02</t>
        </is>
      </c>
      <c r="B3" s="15" t="inlineStr">
        <is>
          <t>Approval templates</t>
        </is>
      </c>
      <c r="C3" s="15" t="inlineStr">
        <is>
          <t>View / edit template</t>
        </is>
      </c>
      <c r="D3" s="15" t="inlineStr">
        <is>
          <t>1. Open Approval Templates
2. Open one template and review steps (sequence, role, escalation days)
3. Edit a non-production template</t>
        </is>
      </c>
      <c r="E3" s="15" t="inlineStr"/>
      <c r="F3" s="15" t="inlineStr">
        <is>
          <t>Steps listed in order; edits persist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ADMIN-SYS-03</t>
        </is>
      </c>
      <c r="B4" s="15" t="inlineStr">
        <is>
          <t>Approval monitor</t>
        </is>
      </c>
      <c r="C4" s="15" t="inlineStr">
        <is>
          <t>In-flight instances</t>
        </is>
      </c>
      <c r="D4" s="15" t="inlineStr">
        <is>
          <t>1. Open Approval Monitor
2. Filter by module/status</t>
        </is>
      </c>
      <c r="E4" s="15" t="inlineStr"/>
      <c r="F4" s="15" t="inlineStr">
        <is>
          <t>Live approval instances with current step; filters work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ADMIN-SYS-04</t>
        </is>
      </c>
      <c r="B5" s="15" t="inlineStr">
        <is>
          <t>Lookups</t>
        </is>
      </c>
      <c r="C5" s="15" t="inlineStr">
        <is>
          <t>Add lookup value</t>
        </is>
      </c>
      <c r="D5" s="15" t="inlineStr">
        <is>
          <t>1. Open Lookups
2. Pick a category (e.g. a status set)
3. Add a value (code + EN/AR names)
4. Edit it, then disable it</t>
        </is>
      </c>
      <c r="E5" s="16" t="inlineStr">
        <is>
          <t>Category CC_REPLACEMENT_REASON — add code UAT_TEST</t>
        </is>
      </c>
      <c r="F5" s="15" t="inlineStr">
        <is>
          <t>Value appears immediately; edits persist; disabled value stops appearing in module dropdowns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ADMIN-SYS-05</t>
        </is>
      </c>
      <c r="B6" s="15" t="inlineStr">
        <is>
          <t>System settings</t>
        </is>
      </c>
      <c r="C6" s="15" t="inlineStr">
        <is>
          <t>Edit a setting</t>
        </is>
      </c>
      <c r="D6" s="15" t="inlineStr">
        <is>
          <t>1. Open System Settings
2. Edit a non-system setting value
3. Save and refresh</t>
        </is>
      </c>
      <c r="E6" s="15" t="inlineStr"/>
      <c r="F6" s="15" t="inlineStr">
        <is>
          <t>New value persists; system-flagged settings are read-only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ADMIN-SYS-06</t>
        </is>
      </c>
      <c r="B7" s="15" t="inlineStr">
        <is>
          <t>System settings</t>
        </is>
      </c>
      <c r="C7" s="15" t="inlineStr">
        <is>
          <t>Secrets masked</t>
        </is>
      </c>
      <c r="D7" s="15" t="inlineStr">
        <is>
          <t>1. Locate a key/password-type setting (e.g. API key)</t>
        </is>
      </c>
      <c r="E7" s="15" t="inlineStr"/>
      <c r="F7" s="15" t="inlineStr">
        <is>
          <t>Value displays as ******** ; saving the mask back is refused (no secret overwrite)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ADMIN-SYS-07</t>
        </is>
      </c>
      <c r="B8" s="15" t="inlineStr">
        <is>
          <t>Theme setting</t>
        </is>
      </c>
      <c r="C8" s="15" t="inlineStr">
        <is>
          <t>Brand color from settings</t>
        </is>
      </c>
      <c r="D8" s="15" t="inlineStr">
        <is>
          <t>1. Edit THEME_BRAND_COLOR (e.g. #7B1FA2)
2. Hard-refresh the app</t>
        </is>
      </c>
      <c r="E8" s="16" t="inlineStr">
        <is>
          <t>THEME_BRAND_COLOR = #7B1FA2 (restore #C74634 after)</t>
        </is>
      </c>
      <c r="F8" s="15" t="inlineStr">
        <is>
          <t>App chrome (buttons, accents) adopts the new color; restore the original afterwards</t>
        </is>
      </c>
      <c r="G8" s="17" t="inlineStr"/>
      <c r="H8" s="17" t="inlineStr"/>
      <c r="I8" s="17" t="inlineStr"/>
      <c r="J8" s="15" t="inlineStr"/>
    </row>
    <row r="9">
      <c r="A9" s="14" t="inlineStr">
        <is>
          <t>ADMIN-SYS-08</t>
        </is>
      </c>
      <c r="B9" s="15" t="inlineStr">
        <is>
          <t>Audit log</t>
        </is>
      </c>
      <c r="C9" s="15" t="inlineStr">
        <is>
          <t>Pagination + filter</t>
        </is>
      </c>
      <c r="D9" s="15" t="inlineStr">
        <is>
          <t>1. Open Audit Log
2. Check pager caption
3. Filter by action (e.g. LOGIN)
4. Page through</t>
        </is>
      </c>
      <c r="E9" s="15" t="inlineStr"/>
      <c r="F9" s="15" t="inlineStr">
        <is>
          <t>Server-paged list; filter narrows rows; newest entries first; your own recent actions appear</t>
        </is>
      </c>
      <c r="G9" s="17" t="inlineStr"/>
      <c r="H9" s="17" t="inlineStr"/>
      <c r="I9" s="17" t="inlineStr"/>
      <c r="J9" s="15" t="inlineStr"/>
    </row>
    <row r="10">
      <c r="A10" s="14" t="inlineStr">
        <is>
          <t>ADMIN-SYS-09</t>
        </is>
      </c>
      <c r="B10" s="15" t="inlineStr">
        <is>
          <t>Appearance</t>
        </is>
      </c>
      <c r="C10" s="15" t="inlineStr">
        <is>
          <t>Theme switch</t>
        </is>
      </c>
      <c r="D10" s="15" t="inlineStr">
        <is>
          <t>1. Open Appearance
2. Switch theme and back</t>
        </is>
      </c>
      <c r="E10" s="15" t="inlineStr"/>
      <c r="F10" s="15" t="inlineStr">
        <is>
          <t>Theme applies immediately and persists across refresh</t>
        </is>
      </c>
      <c r="G10" s="17" t="inlineStr"/>
      <c r="H10" s="17" t="inlineStr"/>
      <c r="I10" s="17" t="inlineStr"/>
      <c r="J10" s="15" t="inlineStr"/>
    </row>
  </sheetData>
  <autoFilter ref="A1:J10"/>
  <conditionalFormatting sqref="G2:G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10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ADMIN-DLG-01</t>
        </is>
      </c>
      <c r="B2" s="15" t="inlineStr">
        <is>
          <t>My delegations</t>
        </is>
      </c>
      <c r="C2" s="15" t="inlineStr">
        <is>
          <t>Profile shows real data</t>
        </is>
      </c>
      <c r="D2" s="15" t="inlineStr">
        <is>
          <t>1. Open My Workspace &gt; My Profile
2. Scroll to My Delegations</t>
        </is>
      </c>
      <c r="E2" s="16" t="inlineStr">
        <is>
          <t>Login AYESHA.AMERI — shows 'Acting for Naser Al Khaja' (incoming, seeded)</t>
        </is>
      </c>
      <c r="F2" s="15" t="inlineStr">
        <is>
          <t>Real delegations from the server (not placeholders); outgoing show 'Delegating to', incoming show 'Acting for'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ADMIN-DLG-02</t>
        </is>
      </c>
      <c r="B3" s="15" t="inlineStr">
        <is>
          <t>Create delegation</t>
        </is>
      </c>
      <c r="C3" s="15" t="inlineStr">
        <is>
          <t>Delegate my authority</t>
        </is>
      </c>
      <c r="D3" s="15" t="inlineStr">
        <is>
          <t>1. In My Profile click + New Delegation
2. Pick a user, end date (e.g. +7 days), reason
3. Create</t>
        </is>
      </c>
      <c r="E3" s="16" t="inlineStr">
        <is>
          <t>Delegate to HASHEM.ALKABBI, end date +7 days, reason 'UAT'</t>
        </is>
      </c>
      <c r="F3" s="15" t="inlineStr">
        <is>
          <t>Delegation appears ACTIVE in the list; the delegate now sees your pending approvals with an 'acting for' badge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ADMIN-DLG-03</t>
        </is>
      </c>
      <c r="B4" s="15" t="inlineStr">
        <is>
          <t>Acting for</t>
        </is>
      </c>
      <c r="C4" s="15" t="inlineStr">
        <is>
          <t>Delegate sees the queue</t>
        </is>
      </c>
      <c r="D4" s="15" t="inlineStr">
        <is>
          <t>1. Login as the delegate
2. Open Pending Approvals (Admin) or the module's approvals page</t>
        </is>
      </c>
      <c r="E4" s="16" t="inlineStr">
        <is>
          <t>Login AYESHA.AMERI — NASER's pending items carry 'acting for' badge</t>
        </is>
      </c>
      <c r="F4" s="15" t="inlineStr">
        <is>
          <t>Items requiring the delegator's role are listed with an 'acting for &lt;name&gt;' badge; delegate can approve/reject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ADMIN-DLG-04</t>
        </is>
      </c>
      <c r="B5" s="15" t="inlineStr">
        <is>
          <t>Cancel delegation</t>
        </is>
      </c>
      <c r="C5" s="15" t="inlineStr">
        <is>
          <t>Stop the cover</t>
        </is>
      </c>
      <c r="D5" s="15" t="inlineStr">
        <is>
          <t>1. As the delegator (or SYS_ADMIN) cancel the ACTIVE delegation</t>
        </is>
      </c>
      <c r="E5" s="16" t="inlineStr">
        <is>
          <t>Cancel the delegation created in the previous case</t>
        </is>
      </c>
      <c r="F5" s="15" t="inlineStr">
        <is>
          <t>Status becomes CANCELLED; the delegate's queue no longer shows the delegated items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ADMIN-DLG-05</t>
        </is>
      </c>
      <c r="B6" s="15" t="inlineStr">
        <is>
          <t>Oversight</t>
        </is>
      </c>
      <c r="C6" s="15" t="inlineStr">
        <is>
          <t>System &gt; Delegations</t>
        </is>
      </c>
      <c r="D6" s="15" t="inlineStr">
        <is>
          <t>1. Login as SYS_ADMIN
2. Open System &gt; Delegations
3. Filter by status</t>
        </is>
      </c>
      <c r="E6" s="16" t="inlineStr">
        <is>
          <t>Seeded NASER→AYESHA row + your test rows</t>
        </is>
      </c>
      <c r="F6" s="15" t="inlineStr">
        <is>
          <t>All delegations platform-wide with delegator, delegate, scope, window; expired ones flip to EXPIRED automatically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ADMIN-DLG-06</t>
        </is>
      </c>
      <c r="B7" s="15" t="inlineStr">
        <is>
          <t>Announcements admin</t>
        </is>
      </c>
      <c r="C7" s="15" t="inlineStr">
        <is>
          <t>Create an announcement</t>
        </is>
      </c>
      <c r="D7" s="15" t="inlineStr">
        <is>
          <t>1. Open System &gt; Announcements
2. + New Announcement: EN+AR titles, severity, audience
3. Save</t>
        </is>
      </c>
      <c r="E7" s="16" t="inlineStr">
        <is>
          <t>Title 'UAT banner test' / INFO / Everyone (deactivate after)</t>
        </is>
      </c>
      <c r="F7" s="15" t="inlineStr">
        <is>
          <t>Announcement listed; appears as a colored banner at the top of the targeted apps within a refresh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ADMIN-DLG-07</t>
        </is>
      </c>
      <c r="B8" s="15" t="inlineStr">
        <is>
          <t>Banner audience</t>
        </is>
      </c>
      <c r="C8" s="15" t="inlineStr">
        <is>
          <t>Module-targeted banner</t>
        </is>
      </c>
      <c r="D8" s="15" t="inlineStr">
        <is>
          <t>1. Create a WARNING announcement targeted at module CREDIT_CARDS
2. Open the CC app, then the PC app</t>
        </is>
      </c>
      <c r="E8" s="16" t="inlineStr">
        <is>
          <t>WARNING targeted at module CREDIT_CARDS (seeded example exists)</t>
        </is>
      </c>
      <c r="F8" s="15" t="inlineStr">
        <is>
          <t>Banner shows in CC only; PC does not show it; ALL announcements show everywhere</t>
        </is>
      </c>
      <c r="G8" s="17" t="inlineStr"/>
      <c r="H8" s="17" t="inlineStr"/>
      <c r="I8" s="17" t="inlineStr"/>
      <c r="J8" s="15" t="inlineStr"/>
    </row>
    <row r="9">
      <c r="A9" s="14" t="inlineStr">
        <is>
          <t>ADMIN-DLG-08</t>
        </is>
      </c>
      <c r="B9" s="15" t="inlineStr">
        <is>
          <t>Banner dismiss</t>
        </is>
      </c>
      <c r="C9" s="15" t="inlineStr">
        <is>
          <t>Dismiss persists for the session</t>
        </is>
      </c>
      <c r="D9" s="15" t="inlineStr">
        <is>
          <t>1. Click the X on a banner
2. Navigate around
3. Close the tab, reopen and login</t>
        </is>
      </c>
      <c r="E9" s="16" t="inlineStr">
        <is>
          <t>Seeded banner: 'Freelancers &amp; Credit Cards modules are live'</t>
        </is>
      </c>
      <c r="F9" s="15" t="inlineStr">
        <is>
          <t>Dismissed banner stays hidden while the session lasts; reappears in a new session if still active</t>
        </is>
      </c>
      <c r="G9" s="17" t="inlineStr"/>
      <c r="H9" s="17" t="inlineStr"/>
      <c r="I9" s="17" t="inlineStr"/>
      <c r="J9" s="15" t="inlineStr"/>
    </row>
    <row r="10">
      <c r="A10" s="14" t="inlineStr">
        <is>
          <t>ADMIN-DLG-09</t>
        </is>
      </c>
      <c r="B10" s="15" t="inlineStr">
        <is>
          <t>Deactivate</t>
        </is>
      </c>
      <c r="C10" s="15" t="inlineStr">
        <is>
          <t>Pull an announcement</t>
        </is>
      </c>
      <c r="D10" s="15" t="inlineStr">
        <is>
          <t>1. In System &gt; Announcements deactivate one</t>
        </is>
      </c>
      <c r="E10" s="16" t="inlineStr">
        <is>
          <t>Deactivate your 'UAT banner test' announcement</t>
        </is>
      </c>
      <c r="F10" s="15" t="inlineStr">
        <is>
          <t>It stops appearing in all apps (after refresh); stays in the admin list as inactive</t>
        </is>
      </c>
      <c r="G10" s="17" t="inlineStr"/>
      <c r="H10" s="17" t="inlineStr"/>
      <c r="I10" s="17" t="inlineStr"/>
      <c r="J10" s="15" t="inlineStr"/>
    </row>
  </sheetData>
  <autoFilter ref="A1:J10"/>
  <conditionalFormatting sqref="G2:G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10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ADMIN-SHL-01</t>
        </is>
      </c>
      <c r="B2" s="15" t="inlineStr">
        <is>
          <t>Module switcher</t>
        </is>
      </c>
      <c r="C2" s="15" t="inlineStr">
        <is>
          <t>Switch to another module</t>
        </is>
      </c>
      <c r="D2" s="15" t="inlineStr">
        <is>
          <t>1. Click the module dropdown in the top bar
2. Choose HR (or PC/DT)</t>
        </is>
      </c>
      <c r="E2" s="15" t="inlineStr"/>
      <c r="F2" s="15" t="inlineStr">
        <is>
          <t>Target app opens WITHOUT a second login (shared session); switcher highlights the current module</t>
        </is>
      </c>
      <c r="G2" s="17" t="inlineStr"/>
      <c r="H2" s="17" t="inlineStr"/>
      <c r="I2" s="17" t="inlineStr"/>
      <c r="J2" s="15" t="inlineStr"/>
    </row>
    <row r="3">
      <c r="A3" s="14" t="inlineStr">
        <is>
          <t>ADMIN-SHL-02</t>
        </is>
      </c>
      <c r="B3" s="15" t="inlineStr">
        <is>
          <t>Module switcher</t>
        </is>
      </c>
      <c r="C3" s="15" t="inlineStr">
        <is>
          <t>FL + CC are live</t>
        </is>
      </c>
      <c r="D3" s="15" t="inlineStr">
        <is>
          <t>1. Open the module dropdown</t>
        </is>
      </c>
      <c r="E3" s="16" t="inlineStr">
        <is>
          <t>Switcher: Freelancers APP 203 + Credit Cards APP 202 (no 'soon')</t>
        </is>
      </c>
      <c r="F3" s="15" t="inlineStr">
        <is>
          <t>Freelancers (APP 203) and Credit Cards (APP 202) appear WITHOUT a 'soon' badge and open their apps</t>
        </is>
      </c>
      <c r="G3" s="17" t="inlineStr"/>
      <c r="H3" s="17" t="inlineStr"/>
      <c r="I3" s="17" t="inlineStr"/>
      <c r="J3" s="15" t="inlineStr"/>
    </row>
    <row r="4">
      <c r="A4" s="14" t="inlineStr">
        <is>
          <t>ADMIN-SHL-03</t>
        </is>
      </c>
      <c r="B4" s="15" t="inlineStr">
        <is>
          <t>Language</t>
        </is>
      </c>
      <c r="C4" s="15" t="inlineStr">
        <is>
          <t>EN to AR live switch</t>
        </is>
      </c>
      <c r="D4" s="15" t="inlineStr">
        <is>
          <t>1. Click the ع button in the top bar</t>
        </is>
      </c>
      <c r="E4" s="15" t="inlineStr"/>
      <c r="F4" s="15" t="inlineStr">
        <is>
          <t>Entire page flips RTL instantly: top bar, side nav, content; Arabic font; numbers stay Latin digits</t>
        </is>
      </c>
      <c r="G4" s="17" t="inlineStr"/>
      <c r="H4" s="17" t="inlineStr"/>
      <c r="I4" s="17" t="inlineStr"/>
      <c r="J4" s="15" t="inlineStr"/>
    </row>
    <row r="5">
      <c r="A5" s="14" t="inlineStr">
        <is>
          <t>ADMIN-SHL-04</t>
        </is>
      </c>
      <c r="B5" s="15" t="inlineStr">
        <is>
          <t>Language</t>
        </is>
      </c>
      <c r="C5" s="15" t="inlineStr">
        <is>
          <t>AR persists across login</t>
        </is>
      </c>
      <c r="D5" s="15" t="inlineStr">
        <is>
          <t>1. Switch to AR
2. Logout, close browser, reopen and login</t>
        </is>
      </c>
      <c r="E5" s="15" t="inlineStr"/>
      <c r="F5" s="15" t="inlineStr">
        <is>
          <t>App opens in Arabic (server-stored preference); switch back to EN at the end</t>
        </is>
      </c>
      <c r="G5" s="17" t="inlineStr"/>
      <c r="H5" s="17" t="inlineStr"/>
      <c r="I5" s="17" t="inlineStr"/>
      <c r="J5" s="15" t="inlineStr"/>
    </row>
    <row r="6">
      <c r="A6" s="14" t="inlineStr">
        <is>
          <t>ADMIN-SHL-05</t>
        </is>
      </c>
      <c r="B6" s="15" t="inlineStr">
        <is>
          <t>Side navigation</t>
        </is>
      </c>
      <c r="C6" s="15" t="inlineStr">
        <is>
          <t>Collapse / expand</t>
        </is>
      </c>
      <c r="D6" s="15" t="inlineStr">
        <is>
          <t>1. Click the hamburger icon</t>
        </is>
      </c>
      <c r="E6" s="15" t="inlineStr"/>
      <c r="F6" s="15" t="inlineStr">
        <is>
          <t>Side nav collapses/expands; content area adjusts</t>
        </is>
      </c>
      <c r="G6" s="17" t="inlineStr"/>
      <c r="H6" s="17" t="inlineStr"/>
      <c r="I6" s="17" t="inlineStr"/>
      <c r="J6" s="15" t="inlineStr"/>
    </row>
    <row r="7">
      <c r="A7" s="14" t="inlineStr">
        <is>
          <t>ADMIN-SHL-06</t>
        </is>
      </c>
      <c r="B7" s="15" t="inlineStr">
        <is>
          <t>Role-based nav</t>
        </is>
      </c>
      <c r="C7" s="15" t="inlineStr">
        <is>
          <t>Menu matches role</t>
        </is>
      </c>
      <c r="D7" s="15" t="inlineStr">
        <is>
          <t>1. Login as a non-admin user</t>
        </is>
      </c>
      <c r="E7" s="15" t="inlineStr"/>
      <c r="F7" s="15" t="inlineStr">
        <is>
          <t>Admin-only groups (User Management, System) are hidden</t>
        </is>
      </c>
      <c r="G7" s="17" t="inlineStr"/>
      <c r="H7" s="17" t="inlineStr"/>
      <c r="I7" s="17" t="inlineStr"/>
      <c r="J7" s="15" t="inlineStr"/>
    </row>
    <row r="8">
      <c r="A8" s="14" t="inlineStr">
        <is>
          <t>ADMIN-SHL-07</t>
        </is>
      </c>
      <c r="B8" s="15" t="inlineStr">
        <is>
          <t>Error handling</t>
        </is>
      </c>
      <c r="C8" s="15" t="inlineStr">
        <is>
          <t>API failure feedback</t>
        </is>
      </c>
      <c r="D8" s="15" t="inlineStr">
        <is>
          <t>1. Disconnect network (or stop the proxy)
2. Try loading a list</t>
        </is>
      </c>
      <c r="E8" s="15" t="inlineStr"/>
      <c r="F8" s="15" t="inlineStr">
        <is>
          <t>Friendly error state with Retry + a toast; no frozen skeleton, no blank screen</t>
        </is>
      </c>
      <c r="G8" s="17" t="inlineStr"/>
      <c r="H8" s="17" t="inlineStr"/>
      <c r="I8" s="17" t="inlineStr"/>
      <c r="J8" s="15" t="inlineStr"/>
    </row>
  </sheetData>
  <autoFilter ref="A1:J8"/>
  <conditionalFormatting sqref="G2:G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8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2026-06-12T00:09:15Z</dcterms:created>
  <dcterms:modified xmlns:dcterms="http://purl.org/dc/terms/" xmlns:xsi="http://www.w3.org/2001/XMLSchema-instance" xsi:type="dcterms:W3CDTF">2026-06-12T00:09:15Z</dcterms:modified>
</cp:coreProperties>
</file>