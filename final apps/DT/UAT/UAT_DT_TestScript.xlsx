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Travel" sheetId="4" state="visible" r:id="rId4"/>
    <sheet xmlns:r="http://schemas.openxmlformats.org/officeDocument/2006/relationships" name="Approvals" sheetId="5" state="visible" r:id="rId5"/>
    <sheet xmlns:r="http://schemas.openxmlformats.org/officeDocument/2006/relationships" name="Finance" sheetId="6" state="visible" r:id="rId6"/>
    <sheet xmlns:r="http://schemas.openxmlformats.org/officeDocument/2006/relationships" name="Administration" sheetId="7" state="visible" r:id="rId7"/>
    <sheet xmlns:r="http://schemas.openxmlformats.org/officeDocument/2006/relationships" name="Configuration" sheetId="8" state="visible" r:id="rId8"/>
    <sheet xmlns:r="http://schemas.openxmlformats.org/officeDocument/2006/relationships" name="Shell &amp; Language" sheetId="9" state="visible" r:id="rId9"/>
  </sheets>
  <definedNames>
    <definedName name="_xlnm._FilterDatabase" localSheetId="1" hidden="1">'Access &amp; Session'!$A$1:$I$4</definedName>
    <definedName name="_xlnm._FilterDatabase" localSheetId="2" hidden="1">'Dashboard'!$A$1:$I$3</definedName>
    <definedName name="_xlnm._FilterDatabase" localSheetId="3" hidden="1">'My Travel'!$A$1:$I$10</definedName>
    <definedName name="_xlnm._FilterDatabase" localSheetId="4" hidden="1">'Approvals'!$A$1:$I$3</definedName>
    <definedName name="_xlnm._FilterDatabase" localSheetId="5" hidden="1">'Finance'!$A$1:$I$4</definedName>
    <definedName name="_xlnm._FilterDatabase" localSheetId="6" hidden="1">'Administration'!$A$1:$I$3</definedName>
    <definedName name="_xlnm._FilterDatabase" localSheetId="7" hidden="1">'Configuration'!$A$1:$I$6</definedName>
    <definedName name="_xlnm._FilterDatabase" localSheetId="8" hidden="1">'Shell &amp; Language'!$A$1:$I$4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b val="1"/>
      <color rgb="000572CE"/>
      <sz val="18"/>
    </font>
    <font>
      <b val="1"/>
      <color rgb="00444444"/>
      <sz val="12"/>
    </font>
    <font>
      <b val="1"/>
    </font>
    <font>
      <b val="1"/>
      <color rgb="000572CE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572CE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0" fillId="0" borderId="0" applyAlignment="1" pivotButton="0" quotePrefix="0" xfId="0">
      <alignment vertical="top" wrapText="1"/>
    </xf>
    <xf numFmtId="0" fontId="7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Duty Travel (App 204) — Travel Requests, Per-Diem, Settlements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2026-06-11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3. Set Status from the dropdown: Pass / Fail / Blocked / N/A.</t>
        </is>
      </c>
    </row>
    <row r="16">
      <c r="B16" t="inlineStr">
        <is>
          <t>4. On Fail or Blocked, ALWAYS fill Comments (what happened, screenshots reference, error text).</t>
        </is>
      </c>
    </row>
    <row r="17">
      <c r="B17" t="inlineStr">
        <is>
          <t>5. Fill Tested By + Test Date on every executed row.</t>
        </is>
      </c>
    </row>
    <row r="18">
      <c r="B18" t="inlineStr">
        <is>
          <t>6. Login accounts: use the quick-login buttons on the login page, or accounts provided by the admin. Never write passwords in this file.</t>
        </is>
      </c>
    </row>
    <row r="19">
      <c r="B19" t="inlineStr">
        <is>
          <t>7. Hard-refresh (Ctrl+F5) after the team deploys a fix before retesting.</t>
        </is>
      </c>
    </row>
    <row r="21">
      <c r="B21" s="4" t="inlineStr">
        <is>
          <t>Status legend</t>
        </is>
      </c>
    </row>
    <row r="22">
      <c r="B22" s="5" t="inlineStr">
        <is>
          <t>Pass</t>
        </is>
      </c>
      <c r="C22" t="inlineStr">
        <is>
          <t>Works exactly as the Expected Result describes</t>
        </is>
      </c>
    </row>
    <row r="23">
      <c r="B23" s="6" t="inlineStr">
        <is>
          <t>Fail</t>
        </is>
      </c>
      <c r="C23" t="inlineStr">
        <is>
          <t>Does not match the Expected Result (describe in Comments)</t>
        </is>
      </c>
    </row>
    <row r="24">
      <c r="B24" s="7" t="inlineStr">
        <is>
          <t>Blocked</t>
        </is>
      </c>
      <c r="C24" t="inlineStr">
        <is>
          <t>Cannot be executed (missing data/role/dependency failed)</t>
        </is>
      </c>
    </row>
    <row r="25">
      <c r="B25" s="8" t="inlineStr">
        <is>
          <t>N/A</t>
        </is>
      </c>
      <c r="C25" t="inlineStr">
        <is>
          <t>Not applicable to this round/role</t>
        </is>
      </c>
    </row>
    <row r="27">
      <c r="B27" s="4" t="inlineStr">
        <is>
          <t>Seeded UAT data (your starting point)</t>
        </is>
      </c>
    </row>
    <row r="28" ht="30" customHeight="1">
      <c r="B28" s="9" t="inlineStr">
        <is>
          <t>- DT-REQ-2026-00001 (NASER, Paris) - DRAFT: use for edit/submit tests.</t>
        </is>
      </c>
    </row>
    <row r="29" ht="30" customHeight="1">
      <c r="B29" s="9" t="inlineStr">
        <is>
          <t>- DT-REQ-2026-00002 (AYESHA, London) - SUBMITTED: in HASHEM's approval queue.</t>
        </is>
      </c>
    </row>
    <row r="30" ht="30" customHeight="1">
      <c r="B30" s="9" t="inlineStr">
        <is>
          <t>- DT-REQ-2026-00003 (SHAIKHA.GALAMERI, Riyadh, trip already past) - ADVANCE_PAID: use to create a Settlement.</t>
        </is>
      </c>
    </row>
    <row r="31" ht="30" customHeight="1">
      <c r="B31" s="9" t="inlineStr">
        <is>
          <t>- Config seeded: per-diem rates (18 countries + tiers + regions), 50 country-group mappings, 2 approval workflows.</t>
        </is>
      </c>
    </row>
    <row r="33">
      <c r="B33" s="4" t="inlineStr">
        <is>
          <t>Live summary</t>
        </is>
      </c>
    </row>
    <row r="34">
      <c r="B34" s="10" t="inlineStr">
        <is>
          <t>Functional area</t>
        </is>
      </c>
      <c r="C34" s="10" t="inlineStr">
        <is>
          <t>Cases</t>
        </is>
      </c>
      <c r="D34" s="10" t="inlineStr">
        <is>
          <t>Pass</t>
        </is>
      </c>
      <c r="E34" s="10" t="inlineStr">
        <is>
          <t>Fail</t>
        </is>
      </c>
      <c r="F34" s="10" t="inlineStr">
        <is>
          <t>Blocked</t>
        </is>
      </c>
      <c r="G34" s="10" t="inlineStr">
        <is>
          <t>Executed %</t>
        </is>
      </c>
    </row>
    <row r="35">
      <c r="B35" s="11" t="inlineStr">
        <is>
          <t>Access &amp; Session</t>
        </is>
      </c>
      <c r="C35" s="11" t="n">
        <v>3</v>
      </c>
      <c r="D35" s="11">
        <f>COUNTIF('Access &amp; Session'!F:F,"Pass")</f>
        <v/>
      </c>
      <c r="E35" s="11">
        <f>COUNTIF('Access &amp; Session'!F:F,"Fail")</f>
        <v/>
      </c>
      <c r="F35" s="11">
        <f>COUNTIF('Access &amp; Session'!F:F,"Blocked")</f>
        <v/>
      </c>
      <c r="G35" s="11">
        <f>ROUND(COUNTA('Access &amp; Session'!F2:F500)/C35*100,0)&amp;"%"</f>
        <v/>
      </c>
    </row>
    <row r="36">
      <c r="B36" s="11" t="inlineStr">
        <is>
          <t>Dashboard</t>
        </is>
      </c>
      <c r="C36" s="11" t="n">
        <v>2</v>
      </c>
      <c r="D36" s="11">
        <f>COUNTIF('Dashboard'!F:F,"Pass")</f>
        <v/>
      </c>
      <c r="E36" s="11">
        <f>COUNTIF('Dashboard'!F:F,"Fail")</f>
        <v/>
      </c>
      <c r="F36" s="11">
        <f>COUNTIF('Dashboard'!F:F,"Blocked")</f>
        <v/>
      </c>
      <c r="G36" s="11">
        <f>ROUND(COUNTA('Dashboard'!F2:F500)/C36*100,0)&amp;"%"</f>
        <v/>
      </c>
    </row>
    <row r="37">
      <c r="B37" s="11" t="inlineStr">
        <is>
          <t>My Travel</t>
        </is>
      </c>
      <c r="C37" s="11" t="n">
        <v>9</v>
      </c>
      <c r="D37" s="11">
        <f>COUNTIF('My Travel'!F:F,"Pass")</f>
        <v/>
      </c>
      <c r="E37" s="11">
        <f>COUNTIF('My Travel'!F:F,"Fail")</f>
        <v/>
      </c>
      <c r="F37" s="11">
        <f>COUNTIF('My Travel'!F:F,"Blocked")</f>
        <v/>
      </c>
      <c r="G37" s="11">
        <f>ROUND(COUNTA('My Travel'!F2:F500)/C37*100,0)&amp;"%"</f>
        <v/>
      </c>
    </row>
    <row r="38">
      <c r="B38" s="11" t="inlineStr">
        <is>
          <t>Approvals</t>
        </is>
      </c>
      <c r="C38" s="11" t="n">
        <v>2</v>
      </c>
      <c r="D38" s="11">
        <f>COUNTIF('Approvals'!F:F,"Pass")</f>
        <v/>
      </c>
      <c r="E38" s="11">
        <f>COUNTIF('Approvals'!F:F,"Fail")</f>
        <v/>
      </c>
      <c r="F38" s="11">
        <f>COUNTIF('Approvals'!F:F,"Blocked")</f>
        <v/>
      </c>
      <c r="G38" s="11">
        <f>ROUND(COUNTA('Approvals'!F2:F500)/C38*100,0)&amp;"%"</f>
        <v/>
      </c>
    </row>
    <row r="39">
      <c r="B39" s="11" t="inlineStr">
        <is>
          <t>Finance</t>
        </is>
      </c>
      <c r="C39" s="11" t="n">
        <v>3</v>
      </c>
      <c r="D39" s="11">
        <f>COUNTIF('Finance'!F:F,"Pass")</f>
        <v/>
      </c>
      <c r="E39" s="11">
        <f>COUNTIF('Finance'!F:F,"Fail")</f>
        <v/>
      </c>
      <c r="F39" s="11">
        <f>COUNTIF('Finance'!F:F,"Blocked")</f>
        <v/>
      </c>
      <c r="G39" s="11">
        <f>ROUND(COUNTA('Finance'!F2:F500)/C39*100,0)&amp;"%"</f>
        <v/>
      </c>
    </row>
    <row r="40">
      <c r="B40" s="11" t="inlineStr">
        <is>
          <t>Administration</t>
        </is>
      </c>
      <c r="C40" s="11" t="n">
        <v>2</v>
      </c>
      <c r="D40" s="11">
        <f>COUNTIF('Administration'!F:F,"Pass")</f>
        <v/>
      </c>
      <c r="E40" s="11">
        <f>COUNTIF('Administration'!F:F,"Fail")</f>
        <v/>
      </c>
      <c r="F40" s="11">
        <f>COUNTIF('Administration'!F:F,"Blocked")</f>
        <v/>
      </c>
      <c r="G40" s="11">
        <f>ROUND(COUNTA('Administration'!F2:F500)/C40*100,0)&amp;"%"</f>
        <v/>
      </c>
    </row>
    <row r="41">
      <c r="B41" s="11" t="inlineStr">
        <is>
          <t>Configuration</t>
        </is>
      </c>
      <c r="C41" s="11" t="n">
        <v>5</v>
      </c>
      <c r="D41" s="11">
        <f>COUNTIF('Configuration'!F:F,"Pass")</f>
        <v/>
      </c>
      <c r="E41" s="11">
        <f>COUNTIF('Configuration'!F:F,"Fail")</f>
        <v/>
      </c>
      <c r="F41" s="11">
        <f>COUNTIF('Configuration'!F:F,"Blocked")</f>
        <v/>
      </c>
      <c r="G41" s="11">
        <f>ROUND(COUNTA('Configuration'!F2:F500)/C41*100,0)&amp;"%"</f>
        <v/>
      </c>
    </row>
    <row r="42">
      <c r="B42" s="11" t="inlineStr">
        <is>
          <t>Shell &amp; Language</t>
        </is>
      </c>
      <c r="C42" s="11" t="n">
        <v>3</v>
      </c>
      <c r="D42" s="11">
        <f>COUNTIF('Shell &amp; Language'!F:F,"Pass")</f>
        <v/>
      </c>
      <c r="E42" s="11">
        <f>COUNTIF('Shell &amp; Language'!F:F,"Fail")</f>
        <v/>
      </c>
      <c r="F42" s="11">
        <f>COUNTIF('Shell &amp; Language'!F:F,"Blocked")</f>
        <v/>
      </c>
      <c r="G42" s="11">
        <f>ROUND(COUNTA('Shell &amp; Language'!F2:F500)/C42*100,0)&amp;"%"</f>
        <v/>
      </c>
    </row>
    <row r="43">
      <c r="B43" s="12" t="inlineStr">
        <is>
          <t>TOTAL</t>
        </is>
      </c>
      <c r="C43" s="12">
        <f>SUM(C35:C42)</f>
        <v/>
      </c>
      <c r="D43" s="12">
        <f>SUM(D35:D42)</f>
        <v/>
      </c>
      <c r="E43" s="12">
        <f>SUM(E35:E42)</f>
        <v/>
      </c>
      <c r="F43" s="12">
        <f>SUM(F35:F42)</f>
        <v/>
      </c>
    </row>
  </sheetData>
  <mergeCells count="21">
    <mergeCell ref="C6:G6"/>
    <mergeCell ref="B14:G14"/>
    <mergeCell ref="C24:G24"/>
    <mergeCell ref="B17:G17"/>
    <mergeCell ref="C5:G5"/>
    <mergeCell ref="B13:G13"/>
    <mergeCell ref="B29:G29"/>
    <mergeCell ref="B19:G19"/>
    <mergeCell ref="B28:G28"/>
    <mergeCell ref="C10:G10"/>
    <mergeCell ref="C25:G25"/>
    <mergeCell ref="C22:G22"/>
    <mergeCell ref="B30:G30"/>
    <mergeCell ref="C9:G9"/>
    <mergeCell ref="B15:G15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Duty Travel via the module dropdown</t>
        </is>
      </c>
      <c r="E2" s="15" t="inlineStr">
        <is>
          <t>DT opens logged-in; correct nav for your role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In a fresh private window open the DT URL</t>
        </is>
      </c>
      <c r="E3" s="15" t="inlineStr">
        <is>
          <t>Redirected to Admin login</t>
        </is>
      </c>
      <c r="F3" s="16" t="inlineStr"/>
      <c r="G3" s="16" t="inlineStr"/>
      <c r="H3" s="16" t="inlineStr"/>
      <c r="I3" s="15" t="inlineStr"/>
    </row>
    <row r="4">
      <c r="A4" s="14" t="inlineStr">
        <is>
          <t>DT-ACC-03</t>
        </is>
      </c>
      <c r="B4" s="15" t="inlineStr">
        <is>
          <t>Role gating</t>
        </is>
      </c>
      <c r="C4" s="15" t="inlineStr">
        <is>
          <t>Finance/Admin menus</t>
        </is>
      </c>
      <c r="D4" s="15" t="inlineStr">
        <is>
          <t>1. Compare menus as requester vs finance vs admin</t>
        </is>
      </c>
      <c r="E4" s="15" t="inlineStr">
        <is>
          <t>Finance (disbursement/closure) and Admin (all requests/report) groups only for those roles</t>
        </is>
      </c>
      <c r="F4" s="16" t="inlineStr"/>
      <c r="G4" s="16" t="inlineStr"/>
      <c r="H4" s="16" t="inlineStr"/>
      <c r="I4" s="15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DT-DSH-01</t>
        </is>
      </c>
      <c r="B2" s="15" t="inlineStr">
        <is>
          <t>Stats</t>
        </is>
      </c>
      <c r="C2" s="15" t="inlineStr">
        <is>
          <t>Cards + recent requests</t>
        </is>
      </c>
      <c r="D2" s="15" t="inlineStr">
        <is>
          <t>1. Open DT Dashboard</t>
        </is>
      </c>
      <c r="E2" s="15" t="inlineStr">
        <is>
          <t>Cards show counts; recent requests list populated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DT-DSH-02</t>
        </is>
      </c>
      <c r="B3" s="15" t="inlineStr">
        <is>
          <t>Charts</t>
        </is>
      </c>
      <c r="C3" s="15" t="inlineStr">
        <is>
          <t>Monthly spend + status funnel</t>
        </is>
      </c>
      <c r="D3" s="15" t="inlineStr">
        <is>
          <t>1. Wait for both charts</t>
        </is>
      </c>
      <c r="E3" s="15" t="inlineStr">
        <is>
          <t>12-month advances vs per-diem line + status funnel render with data</t>
        </is>
      </c>
      <c r="F3" s="16" t="inlineStr"/>
      <c r="G3" s="16" t="inlineStr"/>
      <c r="H3" s="16" t="inlineStr"/>
      <c r="I3" s="15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DT-TRV-01</t>
        </is>
      </c>
      <c r="B2" s="15" t="inlineStr">
        <is>
          <t>My requests</t>
        </is>
      </c>
      <c r="C2" s="15" t="inlineStr">
        <is>
          <t>List + status</t>
        </is>
      </c>
      <c r="D2" s="15" t="inlineStr">
        <is>
          <t>1. Open My Requests</t>
        </is>
      </c>
      <c r="E2" s="15" t="inlineStr">
        <is>
          <t>Your travel requests with destination, dates, amount, status badge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DT-TRV-02</t>
        </is>
      </c>
      <c r="B3" s="15" t="inlineStr">
        <is>
          <t>Create</t>
        </is>
      </c>
      <c r="C3" s="15" t="inlineStr">
        <is>
          <t>New travel request</t>
        </is>
      </c>
      <c r="D3" s="15" t="inlineStr">
        <is>
          <t>1. New Request: traveller, destination country/city, purpose, dates
2. Check per-diem auto-calculation
3. Save draft</t>
        </is>
      </c>
      <c r="E3" s="15" t="inlineStr">
        <is>
          <t>Per-diem computes from country group + grade and nights; draft saved with request number</t>
        </is>
      </c>
      <c r="F3" s="16" t="inlineStr"/>
      <c r="G3" s="16" t="inlineStr"/>
      <c r="H3" s="16" t="inlineStr"/>
      <c r="I3" s="15" t="inlineStr"/>
    </row>
    <row r="4">
      <c r="A4" s="14" t="inlineStr">
        <is>
          <t>DT-TRV-03</t>
        </is>
      </c>
      <c r="B4" s="15" t="inlineStr">
        <is>
          <t>Create</t>
        </is>
      </c>
      <c r="C4" s="15" t="inlineStr">
        <is>
          <t>Advance request</t>
        </is>
      </c>
      <c r="D4" s="15" t="inlineStr">
        <is>
          <t>1. In the request enable/enter a cash advance</t>
        </is>
      </c>
      <c r="E4" s="15" t="inlineStr">
        <is>
          <t>Advance amount validated against policy and stored</t>
        </is>
      </c>
      <c r="F4" s="16" t="inlineStr"/>
      <c r="G4" s="16" t="inlineStr"/>
      <c r="H4" s="16" t="inlineStr"/>
      <c r="I4" s="15" t="inlineStr"/>
    </row>
    <row r="5">
      <c r="A5" s="14" t="inlineStr">
        <is>
          <t>DT-TRV-04</t>
        </is>
      </c>
      <c r="B5" s="15" t="inlineStr">
        <is>
          <t>Validation</t>
        </is>
      </c>
      <c r="C5" s="15" t="inlineStr">
        <is>
          <t>Dates + required fields</t>
        </is>
      </c>
      <c r="D5" s="15" t="inlineStr">
        <is>
          <t>1. Try end date before start date; missing destination</t>
        </is>
      </c>
      <c r="E5" s="15" t="inlineStr">
        <is>
          <t>Clear validation errors; cannot submit</t>
        </is>
      </c>
      <c r="F5" s="16" t="inlineStr"/>
      <c r="G5" s="16" t="inlineStr"/>
      <c r="H5" s="16" t="inlineStr"/>
      <c r="I5" s="15" t="inlineStr"/>
    </row>
    <row r="6">
      <c r="A6" s="14" t="inlineStr">
        <is>
          <t>DT-TRV-05</t>
        </is>
      </c>
      <c r="B6" s="15" t="inlineStr">
        <is>
          <t>Documents</t>
        </is>
      </c>
      <c r="C6" s="15" t="inlineStr">
        <is>
          <t>Attach required docs</t>
        </is>
      </c>
      <c r="D6" s="15" t="inlineStr">
        <is>
          <t>1. Attach the documents required for the destination/type
2. Try submitting without them</t>
        </is>
      </c>
      <c r="E6" s="15" t="inlineStr">
        <is>
          <t>Missing mandatory docs block submission; with docs it submits</t>
        </is>
      </c>
      <c r="F6" s="16" t="inlineStr"/>
      <c r="G6" s="16" t="inlineStr"/>
      <c r="H6" s="16" t="inlineStr"/>
      <c r="I6" s="15" t="inlineStr"/>
    </row>
    <row r="7">
      <c r="A7" s="14" t="inlineStr">
        <is>
          <t>DT-TRV-06</t>
        </is>
      </c>
      <c r="B7" s="15" t="inlineStr">
        <is>
          <t>Submit</t>
        </is>
      </c>
      <c r="C7" s="15" t="inlineStr">
        <is>
          <t>Send for approval</t>
        </is>
      </c>
      <c r="D7" s="15" t="inlineStr">
        <is>
          <t>1. Submit the draft</t>
        </is>
      </c>
      <c r="E7" s="15" t="inlineStr">
        <is>
          <t>Status pending; appears in approver queue; status history started</t>
        </is>
      </c>
      <c r="F7" s="16" t="inlineStr"/>
      <c r="G7" s="16" t="inlineStr"/>
      <c r="H7" s="16" t="inlineStr"/>
      <c r="I7" s="15" t="inlineStr"/>
    </row>
    <row r="8">
      <c r="A8" s="14" t="inlineStr">
        <is>
          <t>DT-TRV-07</t>
        </is>
      </c>
      <c r="B8" s="15" t="inlineStr">
        <is>
          <t>Detail</t>
        </is>
      </c>
      <c r="C8" s="15" t="inlineStr">
        <is>
          <t>Request detail</t>
        </is>
      </c>
      <c r="D8" s="15" t="inlineStr">
        <is>
          <t>1. Open a request</t>
        </is>
      </c>
      <c r="E8" s="15" t="inlineStr">
        <is>
          <t>Segments, per-diem breakdown, advance, documents, history timeline all visible</t>
        </is>
      </c>
      <c r="F8" s="16" t="inlineStr"/>
      <c r="G8" s="16" t="inlineStr"/>
      <c r="H8" s="16" t="inlineStr"/>
      <c r="I8" s="15" t="inlineStr"/>
    </row>
    <row r="9">
      <c r="A9" s="14" t="inlineStr">
        <is>
          <t>DT-TRV-08</t>
        </is>
      </c>
      <c r="B9" s="15" t="inlineStr">
        <is>
          <t>Settlement</t>
        </is>
      </c>
      <c r="C9" s="15" t="inlineStr">
        <is>
          <t>Create settlement</t>
        </is>
      </c>
      <c r="D9" s="15" t="inlineStr">
        <is>
          <t>1. After a disbursed trip open My Settlements &gt; New
2. Enter actuals/receipts
3. Submit</t>
        </is>
      </c>
      <c r="E9" s="15" t="inlineStr">
        <is>
          <t>Settlement created and linked to the request; difference (refund/claim) computed</t>
        </is>
      </c>
      <c r="F9" s="16" t="inlineStr"/>
      <c r="G9" s="16" t="inlineStr"/>
      <c r="H9" s="16" t="inlineStr"/>
      <c r="I9" s="15" t="inlineStr"/>
    </row>
    <row r="10">
      <c r="A10" s="14" t="inlineStr">
        <is>
          <t>DT-TRV-09</t>
        </is>
      </c>
      <c r="B10" s="15" t="inlineStr">
        <is>
          <t>My settlements</t>
        </is>
      </c>
      <c r="C10" s="15" t="inlineStr">
        <is>
          <t>Track settlement status</t>
        </is>
      </c>
      <c r="D10" s="15" t="inlineStr">
        <is>
          <t>1. Open My Settlements</t>
        </is>
      </c>
      <c r="E10" s="15" t="inlineStr">
        <is>
          <t>Settlements with statuses; detail opens</t>
        </is>
      </c>
      <c r="F10" s="16" t="inlineStr"/>
      <c r="G10" s="16" t="inlineStr"/>
      <c r="H10" s="16" t="inlineStr"/>
      <c r="I10" s="15" t="inlineStr"/>
    </row>
  </sheetData>
  <autoFilter ref="A1:I10"/>
  <conditionalFormatting sqref="F2:F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DT-APR-01</t>
        </is>
      </c>
      <c r="B2" s="15" t="inlineStr">
        <is>
          <t>Queue</t>
        </is>
      </c>
      <c r="C2" s="15" t="inlineStr">
        <is>
          <t>Pending approvals</t>
        </is>
      </c>
      <c r="D2" s="15" t="inlineStr">
        <is>
          <t>1. As approver open Approvals</t>
        </is>
      </c>
      <c r="E2" s="15" t="inlineStr">
        <is>
          <t>DT items awaiting your step; badge matches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DT-APR-02</t>
        </is>
      </c>
      <c r="B3" s="15" t="inlineStr">
        <is>
          <t>Approve / Reject</t>
        </is>
      </c>
      <c r="C3" s="15" t="inlineStr">
        <is>
          <t>Action with comment</t>
        </is>
      </c>
      <c r="D3" s="15" t="inlineStr">
        <is>
          <t>1. Approve one; reject one with reason</t>
        </is>
      </c>
      <c r="E3" s="15" t="inlineStr">
        <is>
          <t>Statuses advance; requester notified; history updated</t>
        </is>
      </c>
      <c r="F3" s="16" t="inlineStr"/>
      <c r="G3" s="16" t="inlineStr"/>
      <c r="H3" s="16" t="inlineStr"/>
      <c r="I3" s="15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DT-FIN-01</t>
        </is>
      </c>
      <c r="B2" s="15" t="inlineStr">
        <is>
          <t>Disbursement queue</t>
        </is>
      </c>
      <c r="C2" s="15" t="inlineStr">
        <is>
          <t>Pay approved advances</t>
        </is>
      </c>
      <c r="D2" s="15" t="inlineStr">
        <is>
          <t>1. As finance open Disbursement Queue
2. Mark an approved request disbursed</t>
        </is>
      </c>
      <c r="E2" s="15" t="inlineStr">
        <is>
          <t>Request leaves the queue; status DISBURSED; history updated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DT-FIN-02</t>
        </is>
      </c>
      <c r="B3" s="15" t="inlineStr">
        <is>
          <t>Closure queue</t>
        </is>
      </c>
      <c r="C3" s="15" t="inlineStr">
        <is>
          <t>Close settled trips</t>
        </is>
      </c>
      <c r="D3" s="15" t="inlineStr">
        <is>
          <t>1. Open Closure Queue
2. Close a fully settled request</t>
        </is>
      </c>
      <c r="E3" s="15" t="inlineStr">
        <is>
          <t>Request closed; removed from open lists</t>
        </is>
      </c>
      <c r="F3" s="16" t="inlineStr"/>
      <c r="G3" s="16" t="inlineStr"/>
      <c r="H3" s="16" t="inlineStr"/>
      <c r="I3" s="15" t="inlineStr"/>
    </row>
    <row r="4">
      <c r="A4" s="14" t="inlineStr">
        <is>
          <t>DT-FIN-03</t>
        </is>
      </c>
      <c r="B4" s="15" t="inlineStr">
        <is>
          <t>All settlements</t>
        </is>
      </c>
      <c r="C4" s="15" t="inlineStr">
        <is>
          <t>Finance settlements view</t>
        </is>
      </c>
      <c r="D4" s="15" t="inlineStr">
        <is>
          <t>1. Open All Settlements</t>
        </is>
      </c>
      <c r="E4" s="15" t="inlineStr">
        <is>
          <t>Org-wide settlements with statuses and amounts</t>
        </is>
      </c>
      <c r="F4" s="16" t="inlineStr"/>
      <c r="G4" s="16" t="inlineStr"/>
      <c r="H4" s="16" t="inlineStr"/>
      <c r="I4" s="15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DT-ADM-01</t>
        </is>
      </c>
      <c r="B2" s="15" t="inlineStr">
        <is>
          <t>All requests</t>
        </is>
      </c>
      <c r="C2" s="15" t="inlineStr">
        <is>
          <t>Paged admin list</t>
        </is>
      </c>
      <c r="D2" s="15" t="inlineStr">
        <is>
          <t>1. Open All Requests
2. Check pager; search; filter by status</t>
        </is>
      </c>
      <c r="E2" s="15" t="inlineStr">
        <is>
          <t>Org-wide server-paged list; filters work; 'mine' lists elsewhere unaffected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DT-ADM-02</t>
        </is>
      </c>
      <c r="B3" s="15" t="inlineStr">
        <is>
          <t>Travel report</t>
        </is>
      </c>
      <c r="C3" s="15" t="inlineStr">
        <is>
          <t>Aggregated report</t>
        </is>
      </c>
      <c r="D3" s="15" t="inlineStr">
        <is>
          <t>1. Open Travel Report
2. Apply period/org filters</t>
        </is>
      </c>
      <c r="E3" s="15" t="inlineStr">
        <is>
          <t>Aggregates (trips, spend, advances) consistent with the lists</t>
        </is>
      </c>
      <c r="F3" s="16" t="inlineStr"/>
      <c r="G3" s="16" t="inlineStr"/>
      <c r="H3" s="16" t="inlineStr"/>
      <c r="I3" s="15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DT-CFG-01</t>
        </is>
      </c>
      <c r="B2" s="15" t="inlineStr">
        <is>
          <t>Per-diem rates</t>
        </is>
      </c>
      <c r="C2" s="15" t="inlineStr">
        <is>
          <t>Rates by group/grade</t>
        </is>
      </c>
      <c r="D2" s="15" t="inlineStr">
        <is>
          <t>1. Open Per Diem Rates
2. Edit one rate
3. Create a new request for that group/grade</t>
        </is>
      </c>
      <c r="E2" s="15" t="inlineStr">
        <is>
          <t>New rate persists and is used in the calculation (restore afterwards)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DT-CFG-02</t>
        </is>
      </c>
      <c r="B3" s="15" t="inlineStr">
        <is>
          <t>Country groups</t>
        </is>
      </c>
      <c r="C3" s="15" t="inlineStr">
        <is>
          <t>Country assignment</t>
        </is>
      </c>
      <c r="D3" s="15" t="inlineStr">
        <is>
          <t>1. Open Country Groups
2. Move a country to another group</t>
        </is>
      </c>
      <c r="E3" s="15" t="inlineStr">
        <is>
          <t>Mapping persists; per-diem for that country follows the new group</t>
        </is>
      </c>
      <c r="F3" s="16" t="inlineStr"/>
      <c r="G3" s="16" t="inlineStr"/>
      <c r="H3" s="16" t="inlineStr"/>
      <c r="I3" s="15" t="inlineStr"/>
    </row>
    <row r="4">
      <c r="A4" s="14" t="inlineStr">
        <is>
          <t>DT-CFG-03</t>
        </is>
      </c>
      <c r="B4" s="15" t="inlineStr">
        <is>
          <t>Doc requirements</t>
        </is>
      </c>
      <c r="C4" s="15" t="inlineStr">
        <is>
          <t>Required docs matrix</t>
        </is>
      </c>
      <c r="D4" s="15" t="inlineStr">
        <is>
          <t>1. Open Doc Requirements
2. Add a required doc for a travel type</t>
        </is>
      </c>
      <c r="E4" s="15" t="inlineStr">
        <is>
          <t>New requirement enforced on the next request of that type (remove afterwards)</t>
        </is>
      </c>
      <c r="F4" s="16" t="inlineStr"/>
      <c r="G4" s="16" t="inlineStr"/>
      <c r="H4" s="16" t="inlineStr"/>
      <c r="I4" s="15" t="inlineStr"/>
    </row>
    <row r="5">
      <c r="A5" s="14" t="inlineStr">
        <is>
          <t>DT-CFG-04</t>
        </is>
      </c>
      <c r="B5" s="15" t="inlineStr">
        <is>
          <t>Approval rules</t>
        </is>
      </c>
      <c r="C5" s="15" t="inlineStr">
        <is>
          <t>DT rules</t>
        </is>
      </c>
      <c r="D5" s="15" t="inlineStr">
        <is>
          <t>1. Open Approval Rules</t>
        </is>
      </c>
      <c r="E5" s="15" t="inlineStr">
        <is>
          <t>Steps/thresholds match the approval template</t>
        </is>
      </c>
      <c r="F5" s="16" t="inlineStr"/>
      <c r="G5" s="16" t="inlineStr"/>
      <c r="H5" s="16" t="inlineStr"/>
      <c r="I5" s="15" t="inlineStr"/>
    </row>
    <row r="6">
      <c r="A6" s="14" t="inlineStr">
        <is>
          <t>DT-CFG-05</t>
        </is>
      </c>
      <c r="B6" s="15" t="inlineStr">
        <is>
          <t>Module settings</t>
        </is>
      </c>
      <c r="C6" s="15" t="inlineStr">
        <is>
          <t>DT settings</t>
        </is>
      </c>
      <c r="D6" s="15" t="inlineStr">
        <is>
          <t>1. Edit a DT module setting and refresh</t>
        </is>
      </c>
      <c r="E6" s="15" t="inlineStr">
        <is>
          <t>Value persists; behaviour/brand follows</t>
        </is>
      </c>
      <c r="F6" s="16" t="inlineStr"/>
      <c r="G6" s="16" t="inlineStr"/>
      <c r="H6" s="16" t="inlineStr"/>
      <c r="I6" s="15" t="inlineStr"/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52" customWidth="1" min="4" max="4"/>
    <col width="46" customWidth="1" min="5" max="5"/>
    <col width="11" customWidth="1" min="6" max="6"/>
    <col width="14" customWidth="1" min="7" max="7"/>
    <col width="12" customWidth="1" min="8" max="8"/>
    <col width="36" customWidth="1" min="9" max="9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Expected Result</t>
        </is>
      </c>
      <c r="F1" s="13" t="inlineStr">
        <is>
          <t>Status</t>
        </is>
      </c>
      <c r="G1" s="13" t="inlineStr">
        <is>
          <t>Tested By</t>
        </is>
      </c>
      <c r="H1" s="13" t="inlineStr">
        <is>
          <t>Test Date</t>
        </is>
      </c>
      <c r="I1" s="13" t="inlineStr">
        <is>
          <t>Comments / Defect Ref</t>
        </is>
      </c>
    </row>
    <row r="2">
      <c r="A2" s="14" t="inlineStr">
        <is>
          <t>DT-SHL-01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Use the module dropdown to another app and back</t>
        </is>
      </c>
      <c r="E2" s="15" t="inlineStr">
        <is>
          <t>No re-login; DT state intact</t>
        </is>
      </c>
      <c r="F2" s="16" t="inlineStr"/>
      <c r="G2" s="16" t="inlineStr"/>
      <c r="H2" s="16" t="inlineStr"/>
      <c r="I2" s="15" t="inlineStr"/>
    </row>
    <row r="3">
      <c r="A3" s="14" t="inlineStr">
        <is>
          <t>DT-SHL-02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 and walk My Requests + Dashboard</t>
        </is>
      </c>
      <c r="E3" s="15" t="inlineStr">
        <is>
          <t>Mirrored layout, Arabic shell labels, Latin digits, lists load</t>
        </is>
      </c>
      <c r="F3" s="16" t="inlineStr"/>
      <c r="G3" s="16" t="inlineStr"/>
      <c r="H3" s="16" t="inlineStr"/>
      <c r="I3" s="15" t="inlineStr"/>
    </row>
    <row r="4">
      <c r="A4" s="14" t="inlineStr">
        <is>
          <t>DT-SHL-03</t>
        </is>
      </c>
      <c r="B4" s="15" t="inlineStr">
        <is>
          <t>Notifications</t>
        </is>
      </c>
      <c r="C4" s="15" t="inlineStr">
        <is>
          <t>DT notifications</t>
        </is>
      </c>
      <c r="D4" s="15" t="inlineStr">
        <is>
          <t>1. Trigger approval/disbursement events</t>
        </is>
      </c>
      <c r="E4" s="15" t="inlineStr">
        <is>
          <t>Bell shows them; readable detail</t>
        </is>
      </c>
      <c r="F4" s="16" t="inlineStr"/>
      <c r="G4" s="16" t="inlineStr"/>
      <c r="H4" s="16" t="inlineStr"/>
      <c r="I4" s="15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2:F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2026-06-11T18:24:29Z</dcterms:created>
  <dcterms:modified xmlns:dcterms="http://purl.org/dc/terms/" xmlns:xsi="http://www.w3.org/2001/XMLSchema-instance" xsi:type="dcterms:W3CDTF">2026-06-11T18:24:30Z</dcterms:modified>
</cp:coreProperties>
</file>