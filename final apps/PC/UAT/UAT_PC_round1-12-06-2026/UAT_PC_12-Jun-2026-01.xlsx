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Petty Cash" sheetId="4" state="visible" r:id="rId4"/>
    <sheet xmlns:r="http://schemas.openxmlformats.org/officeDocument/2006/relationships" name="Reimbursements" sheetId="5" state="visible" r:id="rId5"/>
    <sheet xmlns:r="http://schemas.openxmlformats.org/officeDocument/2006/relationships" name="Clearing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Administration" sheetId="8" state="visible" r:id="rId8"/>
    <sheet xmlns:r="http://schemas.openxmlformats.org/officeDocument/2006/relationships" name="Configuration" sheetId="9" state="visible" r:id="rId9"/>
    <sheet xmlns:r="http://schemas.openxmlformats.org/officeDocument/2006/relationships" name="Shell &amp; Language" sheetId="10" state="visible" r:id="rId10"/>
  </sheets>
  <definedNames>
    <definedName name="_xlnm._FilterDatabase" localSheetId="1" hidden="1">'Access &amp; Session'!$A$1:$J$4</definedName>
    <definedName name="_xlnm._FilterDatabase" localSheetId="2" hidden="1">'Dashboard'!$A$1:$J$4</definedName>
    <definedName name="_xlnm._FilterDatabase" localSheetId="3" hidden="1">'My Petty Cash'!$A$1:$J$9</definedName>
    <definedName name="_xlnm._FilterDatabase" localSheetId="4" hidden="1">'Reimbursements'!$A$1:$J$4</definedName>
    <definedName name="_xlnm._FilterDatabase" localSheetId="5" hidden="1">'Clearing'!$A$1:$J$4</definedName>
    <definedName name="_xlnm._FilterDatabase" localSheetId="6" hidden="1">'Approvals'!$A$1:$J$5</definedName>
    <definedName name="_xlnm._FilterDatabase" localSheetId="7" hidden="1">'Administration'!$A$1:$J$5</definedName>
    <definedName name="_xlnm._FilterDatabase" localSheetId="8" hidden="1">'Configuration'!$A$1:$J$4</definedName>
    <definedName name="_xlnm._FilterDatabase" localSheetId="9" hidden="1">'Shell &amp; Language'!$A$1:$J$4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2E7D32"/>
      <sz val="18"/>
    </font>
    <font>
      <b val="1"/>
      <color rgb="00444444"/>
      <sz val="12"/>
    </font>
    <font>
      <b val="1"/>
    </font>
    <font>
      <b val="1"/>
      <color rgb="002E7D32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Petty Cash (App 201) — Floats, Reimbursements, Clearing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PC-2026-00008 (SHAIKHA.ALSUWAIDI, TEMPORARY 1,800) - awaiting approval: use for approve/reject tests (approver: AYESHA.AMERI).</t>
        </is>
      </c>
    </row>
    <row r="30" ht="30" customHeight="1">
      <c r="B30" s="9" t="inlineStr">
        <is>
          <t>- PC-2026-00005 (NASER, TEMPORARY 2,500) - fully approved, awaiting disbursement: use for the Disburse test.</t>
        </is>
      </c>
    </row>
    <row r="31" ht="30" customHeight="1">
      <c r="B31" s="9" t="inlineStr">
        <is>
          <t>- PC-2026-00006 (AYESHA, TEMPORARY 3,500) - ACTIVE/disbursed: use to create a Clearing.</t>
        </is>
      </c>
    </row>
    <row r="32" ht="30" customHeight="1">
      <c r="B32" s="9" t="inlineStr">
        <is>
          <t>- PC-2026-00007 (SHAIKHA.GALAMERI, PERMANENT 5,000) - ACTIVE: use to create Reimbursements.</t>
        </is>
      </c>
    </row>
    <row r="33" ht="30" customHeight="1">
      <c r="B33" s="9" t="inlineStr">
        <is>
          <t>- RMB-2026-00100 (450 on PC-00007) - awaiting approval.</t>
        </is>
      </c>
    </row>
    <row r="35">
      <c r="B35" s="4" t="inlineStr">
        <is>
          <t>Live summary</t>
        </is>
      </c>
    </row>
    <row r="36">
      <c r="B36" s="10" t="inlineStr">
        <is>
          <t>Functional area</t>
        </is>
      </c>
      <c r="C36" s="10" t="inlineStr">
        <is>
          <t>Cases</t>
        </is>
      </c>
      <c r="D36" s="10" t="inlineStr">
        <is>
          <t>Pass</t>
        </is>
      </c>
      <c r="E36" s="10" t="inlineStr">
        <is>
          <t>Fail</t>
        </is>
      </c>
      <c r="F36" s="10" t="inlineStr">
        <is>
          <t>Blocked</t>
        </is>
      </c>
      <c r="G36" s="10" t="inlineStr">
        <is>
          <t>Executed %</t>
        </is>
      </c>
    </row>
    <row r="37">
      <c r="B37" s="11" t="inlineStr">
        <is>
          <t>Access &amp; Session</t>
        </is>
      </c>
      <c r="C37" s="11" t="n">
        <v>3</v>
      </c>
      <c r="D37" s="11">
        <f>COUNTIF('Access &amp; Session'!G:G,"Pass")</f>
        <v/>
      </c>
      <c r="E37" s="11">
        <f>COUNTIF('Access &amp; Session'!G:G,"Fail")</f>
        <v/>
      </c>
      <c r="F37" s="11">
        <f>COUNTIF('Access &amp; Session'!G:G,"Blocked")</f>
        <v/>
      </c>
      <c r="G37" s="11">
        <f>ROUND(COUNTA('Access &amp; Session'!G2:G500)/C37*100,0)&amp;"%"</f>
        <v/>
      </c>
    </row>
    <row r="38">
      <c r="B38" s="11" t="inlineStr">
        <is>
          <t>Dashboard</t>
        </is>
      </c>
      <c r="C38" s="11" t="n">
        <v>3</v>
      </c>
      <c r="D38" s="11">
        <f>COUNTIF('Dashboard'!G:G,"Pass")</f>
        <v/>
      </c>
      <c r="E38" s="11">
        <f>COUNTIF('Dashboard'!G:G,"Fail")</f>
        <v/>
      </c>
      <c r="F38" s="11">
        <f>COUNTIF('Dashboard'!G:G,"Blocked")</f>
        <v/>
      </c>
      <c r="G38" s="11">
        <f>ROUND(COUNTA('Dashboard'!G2:G500)/C38*100,0)&amp;"%"</f>
        <v/>
      </c>
    </row>
    <row r="39">
      <c r="B39" s="11" t="inlineStr">
        <is>
          <t>My Petty Cash</t>
        </is>
      </c>
      <c r="C39" s="11" t="n">
        <v>8</v>
      </c>
      <c r="D39" s="11">
        <f>COUNTIF('My Petty Cash'!G:G,"Pass")</f>
        <v/>
      </c>
      <c r="E39" s="11">
        <f>COUNTIF('My Petty Cash'!G:G,"Fail")</f>
        <v/>
      </c>
      <c r="F39" s="11">
        <f>COUNTIF('My Petty Cash'!G:G,"Blocked")</f>
        <v/>
      </c>
      <c r="G39" s="11">
        <f>ROUND(COUNTA('My Petty Cash'!G2:G500)/C39*100,0)&amp;"%"</f>
        <v/>
      </c>
    </row>
    <row r="40">
      <c r="B40" s="11" t="inlineStr">
        <is>
          <t>Reimbursements</t>
        </is>
      </c>
      <c r="C40" s="11" t="n">
        <v>3</v>
      </c>
      <c r="D40" s="11">
        <f>COUNTIF('Reimbursements'!G:G,"Pass")</f>
        <v/>
      </c>
      <c r="E40" s="11">
        <f>COUNTIF('Reimbursements'!G:G,"Fail")</f>
        <v/>
      </c>
      <c r="F40" s="11">
        <f>COUNTIF('Reimbursements'!G:G,"Blocked")</f>
        <v/>
      </c>
      <c r="G40" s="11">
        <f>ROUND(COUNTA('Reimbursements'!G2:G500)/C40*100,0)&amp;"%"</f>
        <v/>
      </c>
    </row>
    <row r="41">
      <c r="B41" s="11" t="inlineStr">
        <is>
          <t>Clearing</t>
        </is>
      </c>
      <c r="C41" s="11" t="n">
        <v>3</v>
      </c>
      <c r="D41" s="11">
        <f>COUNTIF('Clearing'!G:G,"Pass")</f>
        <v/>
      </c>
      <c r="E41" s="11">
        <f>COUNTIF('Clearing'!G:G,"Fail")</f>
        <v/>
      </c>
      <c r="F41" s="11">
        <f>COUNTIF('Clearing'!G:G,"Blocked")</f>
        <v/>
      </c>
      <c r="G41" s="11">
        <f>ROUND(COUNTA('Clearing'!G2:G500)/C41*100,0)&amp;"%"</f>
        <v/>
      </c>
    </row>
    <row r="42">
      <c r="B42" s="11" t="inlineStr">
        <is>
          <t>Approvals</t>
        </is>
      </c>
      <c r="C42" s="11" t="n">
        <v>4</v>
      </c>
      <c r="D42" s="11">
        <f>COUNTIF('Approvals'!G:G,"Pass")</f>
        <v/>
      </c>
      <c r="E42" s="11">
        <f>COUNTIF('Approvals'!G:G,"Fail")</f>
        <v/>
      </c>
      <c r="F42" s="11">
        <f>COUNTIF('Approvals'!G:G,"Blocked")</f>
        <v/>
      </c>
      <c r="G42" s="11">
        <f>ROUND(COUNTA('Approvals'!G2:G500)/C42*100,0)&amp;"%"</f>
        <v/>
      </c>
    </row>
    <row r="43">
      <c r="B43" s="11" t="inlineStr">
        <is>
          <t>Administration</t>
        </is>
      </c>
      <c r="C43" s="11" t="n">
        <v>4</v>
      </c>
      <c r="D43" s="11">
        <f>COUNTIF('Administration'!G:G,"Pass")</f>
        <v/>
      </c>
      <c r="E43" s="11">
        <f>COUNTIF('Administration'!G:G,"Fail")</f>
        <v/>
      </c>
      <c r="F43" s="11">
        <f>COUNTIF('Administration'!G:G,"Blocked")</f>
        <v/>
      </c>
      <c r="G43" s="11">
        <f>ROUND(COUNTA('Administration'!G2:G500)/C43*100,0)&amp;"%"</f>
        <v/>
      </c>
    </row>
    <row r="44">
      <c r="B44" s="11" t="inlineStr">
        <is>
          <t>Configuration</t>
        </is>
      </c>
      <c r="C44" s="11" t="n">
        <v>3</v>
      </c>
      <c r="D44" s="11">
        <f>COUNTIF('Configuration'!G:G,"Pass")</f>
        <v/>
      </c>
      <c r="E44" s="11">
        <f>COUNTIF('Configuration'!G:G,"Fail")</f>
        <v/>
      </c>
      <c r="F44" s="11">
        <f>COUNTIF('Configuration'!G:G,"Blocked")</f>
        <v/>
      </c>
      <c r="G44" s="11">
        <f>ROUND(COUNTA('Configuration'!G2:G500)/C44*100,0)&amp;"%"</f>
        <v/>
      </c>
    </row>
    <row r="45">
      <c r="B45" s="11" t="inlineStr">
        <is>
          <t>Shell &amp; Language</t>
        </is>
      </c>
      <c r="C45" s="11" t="n">
        <v>3</v>
      </c>
      <c r="D45" s="11">
        <f>COUNTIF('Shell &amp; Language'!G:G,"Pass")</f>
        <v/>
      </c>
      <c r="E45" s="11">
        <f>COUNTIF('Shell &amp; Language'!G:G,"Fail")</f>
        <v/>
      </c>
      <c r="F45" s="11">
        <f>COUNTIF('Shell &amp; Language'!G:G,"Blocked")</f>
        <v/>
      </c>
      <c r="G45" s="11">
        <f>ROUND(COUNTA('Shell &amp; Language'!G2:G500)/C45*100,0)&amp;"%"</f>
        <v/>
      </c>
    </row>
    <row r="46">
      <c r="B46" s="12" t="inlineStr">
        <is>
          <t>TOTAL</t>
        </is>
      </c>
      <c r="C46" s="12">
        <f>SUM(C37:C45)</f>
        <v/>
      </c>
      <c r="D46" s="12">
        <f>SUM(D37:D45)</f>
        <v/>
      </c>
      <c r="E46" s="12">
        <f>SUM(E37:E45)</f>
        <v/>
      </c>
      <c r="F46" s="12">
        <f>SUM(F37:F45)</f>
        <v/>
      </c>
    </row>
  </sheetData>
  <mergeCells count="23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33:G33"/>
    <mergeCell ref="B20:G20"/>
    <mergeCell ref="B32:G32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the Admin app
2. Use the module switcher to open Petty Cash</t>
        </is>
      </c>
      <c r="E2" s="15" t="inlineStr"/>
      <c r="F2" s="15" t="inlineStr">
        <is>
          <t>PC opens logged-in (no second login); your name in the top bar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Logout (or new private window)
2. Open the PC app URL directly</t>
        </is>
      </c>
      <c r="E3" s="15" t="inlineStr"/>
      <c r="F3" s="15" t="inlineStr">
        <is>
          <t>Redirected to the Admin login page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PC-ACC-03</t>
        </is>
      </c>
      <c r="B4" s="15" t="inlineStr">
        <is>
          <t>Role gating</t>
        </is>
      </c>
      <c r="C4" s="15" t="inlineStr">
        <is>
          <t>Approver/Admin menus</t>
        </is>
      </c>
      <c r="D4" s="15" t="inlineStr">
        <is>
          <t>1. Login as a regular user, then as a PC admin</t>
        </is>
      </c>
      <c r="E4" s="15" t="inlineStr"/>
      <c r="F4" s="15" t="inlineStr">
        <is>
          <t>Approvals group only for approvers; All Petty Cash/Configuration only for admins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PC-DSH-01</t>
        </is>
      </c>
      <c r="B2" s="15" t="inlineStr">
        <is>
          <t>Stats</t>
        </is>
      </c>
      <c r="C2" s="15" t="inlineStr">
        <is>
          <t>Cards show live numbers</t>
        </is>
      </c>
      <c r="D2" s="15" t="inlineStr">
        <is>
          <t>1. Open PC Dashboard</t>
        </is>
      </c>
      <c r="E2" s="15" t="inlineStr"/>
      <c r="F2" s="15" t="inlineStr">
        <is>
          <t>Cards (my floats, pending, totals) show sensible non-error values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PC-DSH-02</t>
        </is>
      </c>
      <c r="B3" s="15" t="inlineStr">
        <is>
          <t>Charts</t>
        </is>
      </c>
      <c r="C3" s="15" t="inlineStr">
        <is>
          <t>Floats by org + ageing</t>
        </is>
      </c>
      <c r="D3" s="15" t="inlineStr">
        <is>
          <t>1. Wait for both charts</t>
        </is>
      </c>
      <c r="E3" s="15" t="inlineStr"/>
      <c r="F3" s="15" t="inlineStr">
        <is>
          <t>Outstanding floats by organisation bar chart + TEMPORARY ageing chart render correctly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PC-DSH-03</t>
        </is>
      </c>
      <c r="B4" s="15" t="inlineStr">
        <is>
          <t>Charts</t>
        </is>
      </c>
      <c r="C4" s="15" t="inlineStr">
        <is>
          <t>Re-render on return</t>
        </is>
      </c>
      <c r="D4" s="15" t="inlineStr">
        <is>
          <t>1. Navigate away and back</t>
        </is>
      </c>
      <c r="E4" s="15" t="inlineStr"/>
      <c r="F4" s="15" t="inlineStr">
        <is>
          <t>Charts render again, not blank/duplicated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PC-MPC-01</t>
        </is>
      </c>
      <c r="B2" s="15" t="inlineStr">
        <is>
          <t>My list</t>
        </is>
      </c>
      <c r="C2" s="15" t="inlineStr">
        <is>
          <t>My requests only</t>
        </is>
      </c>
      <c r="D2" s="15" t="inlineStr">
        <is>
          <t>1. Open My Petty Cash</t>
        </is>
      </c>
      <c r="E2" s="15" t="inlineStr"/>
      <c r="F2" s="15" t="inlineStr">
        <is>
          <t>Only YOUR petty cash requests, with number, type, amount, status badge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PC-MPC-02</t>
        </is>
      </c>
      <c r="B3" s="15" t="inlineStr">
        <is>
          <t>Create</t>
        </is>
      </c>
      <c r="C3" s="15" t="inlineStr">
        <is>
          <t>PERMANENT float request</t>
        </is>
      </c>
      <c r="D3" s="15" t="inlineStr">
        <is>
          <t>1. New Petty Cash Request
2. Type=PERMANENT, amount, justification
3. Add GL coding line(s) summing to the amount
4. Save draft</t>
        </is>
      </c>
      <c r="E3" s="17" t="inlineStr">
        <is>
          <t>Amount 2,000 · any active GL combination</t>
        </is>
      </c>
      <c r="F3" s="15" t="inlineStr">
        <is>
          <t>Draft created with number PC-YYYY-NNNNN; appears in My Petty Cash as DRAFT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PC-MPC-03</t>
        </is>
      </c>
      <c r="B4" s="15" t="inlineStr">
        <is>
          <t>Create</t>
        </is>
      </c>
      <c r="C4" s="15" t="inlineStr">
        <is>
          <t>TEMPORARY float request</t>
        </is>
      </c>
      <c r="D4" s="15" t="inlineStr">
        <is>
          <t>1. Same with Type=TEMPORARY + needed-by/return date</t>
        </is>
      </c>
      <c r="E4" s="17" t="inlineStr">
        <is>
          <t>Amount 1,500 · needed-by +7 days</t>
        </is>
      </c>
      <c r="F4" s="15" t="inlineStr">
        <is>
          <t>Draft created; type shown correctly</t>
        </is>
      </c>
      <c r="G4" s="16" t="inlineStr"/>
      <c r="H4" s="16" t="inlineStr"/>
      <c r="I4" s="16" t="inlineStr"/>
      <c r="J4" s="15" t="inlineStr"/>
    </row>
    <row r="5">
      <c r="A5" s="14" t="inlineStr">
        <is>
          <t>PC-MPC-04</t>
        </is>
      </c>
      <c r="B5" s="15" t="inlineStr">
        <is>
          <t>Validation</t>
        </is>
      </c>
      <c r="C5" s="15" t="inlineStr">
        <is>
          <t>Coding must equal amount</t>
        </is>
      </c>
      <c r="D5" s="15" t="inlineStr">
        <is>
          <t>1. Create a request where coding lines total &lt;&gt; requested amount
2. Try to submit</t>
        </is>
      </c>
      <c r="E5" s="15" t="inlineStr"/>
      <c r="F5" s="15" t="inlineStr">
        <is>
          <t>Submission blocked with a clear message</t>
        </is>
      </c>
      <c r="G5" s="16" t="inlineStr"/>
      <c r="H5" s="16" t="inlineStr"/>
      <c r="I5" s="16" t="inlineStr"/>
      <c r="J5" s="15" t="inlineStr"/>
    </row>
    <row r="6">
      <c r="A6" s="14" t="inlineStr">
        <is>
          <t>PC-MPC-05</t>
        </is>
      </c>
      <c r="B6" s="15" t="inlineStr">
        <is>
          <t>Validation</t>
        </is>
      </c>
      <c r="C6" s="15" t="inlineStr">
        <is>
          <t>Required fields</t>
        </is>
      </c>
      <c r="D6" s="15" t="inlineStr">
        <is>
          <t>1. Try saving with empty amount / justification</t>
        </is>
      </c>
      <c r="E6" s="15" t="inlineStr"/>
      <c r="F6" s="15" t="inlineStr">
        <is>
          <t>Field-level validation errors; nothing saved</t>
        </is>
      </c>
      <c r="G6" s="16" t="inlineStr"/>
      <c r="H6" s="16" t="inlineStr"/>
      <c r="I6" s="16" t="inlineStr"/>
      <c r="J6" s="15" t="inlineStr"/>
    </row>
    <row r="7">
      <c r="A7" s="14" t="inlineStr">
        <is>
          <t>PC-MPC-06</t>
        </is>
      </c>
      <c r="B7" s="15" t="inlineStr">
        <is>
          <t>Submit</t>
        </is>
      </c>
      <c r="C7" s="15" t="inlineStr">
        <is>
          <t>Send for approval</t>
        </is>
      </c>
      <c r="D7" s="15" t="inlineStr">
        <is>
          <t>1. Open a DRAFT request
2. Click Submit</t>
        </is>
      </c>
      <c r="E7" s="15" t="inlineStr"/>
      <c r="F7" s="15" t="inlineStr">
        <is>
          <t>Status changes to submitted/pending; appears in the approver's queue; status history records the event</t>
        </is>
      </c>
      <c r="G7" s="16" t="inlineStr"/>
      <c r="H7" s="16" t="inlineStr"/>
      <c r="I7" s="16" t="inlineStr"/>
      <c r="J7" s="15" t="inlineStr"/>
    </row>
    <row r="8">
      <c r="A8" s="14" t="inlineStr">
        <is>
          <t>PC-MPC-07</t>
        </is>
      </c>
      <c r="B8" s="15" t="inlineStr">
        <is>
          <t>Detail</t>
        </is>
      </c>
      <c r="C8" s="15" t="inlineStr">
        <is>
          <t>Request detail</t>
        </is>
      </c>
      <c r="D8" s="15" t="inlineStr">
        <is>
          <t>1. Open a request from the list</t>
        </is>
      </c>
      <c r="E8" s="15" t="inlineStr"/>
      <c r="F8" s="15" t="inlineStr">
        <is>
          <t>Full detail: amounts, coding lines, status history timeline, documents</t>
        </is>
      </c>
      <c r="G8" s="16" t="inlineStr"/>
      <c r="H8" s="16" t="inlineStr"/>
      <c r="I8" s="16" t="inlineStr"/>
      <c r="J8" s="15" t="inlineStr"/>
    </row>
    <row r="9">
      <c r="A9" s="14" t="inlineStr">
        <is>
          <t>PC-MPC-08</t>
        </is>
      </c>
      <c r="B9" s="15" t="inlineStr">
        <is>
          <t>Withdraw</t>
        </is>
      </c>
      <c r="C9" s="15" t="inlineStr">
        <is>
          <t>Withdraw a submitted request</t>
        </is>
      </c>
      <c r="D9" s="15" t="inlineStr">
        <is>
          <t>1. Open your submitted request
2. Withdraw</t>
        </is>
      </c>
      <c r="E9" s="15" t="inlineStr"/>
      <c r="F9" s="15" t="inlineStr">
        <is>
          <t>Status returns to draft/withdrawn; it leaves the approver queue</t>
        </is>
      </c>
      <c r="G9" s="16" t="inlineStr"/>
      <c r="H9" s="16" t="inlineStr"/>
      <c r="I9" s="16" t="inlineStr"/>
      <c r="J9" s="15" t="inlineStr"/>
    </row>
  </sheetData>
  <autoFilter ref="A1:J9"/>
  <conditionalFormatting sqref="G2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PC-RMB-01</t>
        </is>
      </c>
      <c r="B2" s="15" t="inlineStr">
        <is>
          <t>Create</t>
        </is>
      </c>
      <c r="C2" s="15" t="inlineStr">
        <is>
          <t>New reimbursement</t>
        </is>
      </c>
      <c r="D2" s="15" t="inlineStr">
        <is>
          <t>1. Open Reimbursements &gt; New
2. Add expense lines (date, GL code, amount, description)
3. Save + Submit</t>
        </is>
      </c>
      <c r="E2" s="17" t="inlineStr">
        <is>
          <t>On PC-2026-00007 (SHAIKHA.GALAMERI, PERMANENT 5,000); RMB-2026-00100 (450) already awaiting approval</t>
        </is>
      </c>
      <c r="F2" s="15" t="inlineStr">
        <is>
          <t>Reimbursement created with its own number; goes to approval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PC-RMB-02</t>
        </is>
      </c>
      <c r="B3" s="15" t="inlineStr">
        <is>
          <t>Detail</t>
        </is>
      </c>
      <c r="C3" s="15" t="inlineStr">
        <is>
          <t>Line items + history</t>
        </is>
      </c>
      <c r="D3" s="15" t="inlineStr">
        <is>
          <t>1. Open a reimbursement</t>
        </is>
      </c>
      <c r="E3" s="15" t="inlineStr"/>
      <c r="F3" s="15" t="inlineStr">
        <is>
          <t>Lines, totals, status history all shown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PC-RMB-03</t>
        </is>
      </c>
      <c r="B4" s="15" t="inlineStr">
        <is>
          <t>My list</t>
        </is>
      </c>
      <c r="C4" s="15" t="inlineStr">
        <is>
          <t>Status tracking</t>
        </is>
      </c>
      <c r="D4" s="15" t="inlineStr">
        <is>
          <t>1. Check list after submit/approval</t>
        </is>
      </c>
      <c r="E4" s="15" t="inlineStr"/>
      <c r="F4" s="15" t="inlineStr">
        <is>
          <t>Status badge updates through the lifecycle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PC-CLR-01</t>
        </is>
      </c>
      <c r="B2" s="15" t="inlineStr">
        <is>
          <t>Create</t>
        </is>
      </c>
      <c r="C2" s="15" t="inlineStr">
        <is>
          <t>Clear a TEMPORARY float</t>
        </is>
      </c>
      <c r="D2" s="15" t="inlineStr">
        <is>
          <t>1. Open Clearing &gt; New for a disbursed TEMPORARY float
2. Add receipts/expense lines + returned amount
3. Submit</t>
        </is>
      </c>
      <c r="E2" s="17" t="inlineStr">
        <is>
          <t>PC-2026-00006 (AYESHA, 3,500, ACTIVE/disbursed)</t>
        </is>
      </c>
      <c r="F2" s="15" t="inlineStr">
        <is>
          <t>Clearing created; float and clearing linked; goes to approval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PC-CLR-02</t>
        </is>
      </c>
      <c r="B3" s="15" t="inlineStr">
        <is>
          <t>Validation</t>
        </is>
      </c>
      <c r="C3" s="15" t="inlineStr">
        <is>
          <t>Totals must reconcile</t>
        </is>
      </c>
      <c r="D3" s="15" t="inlineStr">
        <is>
          <t>1. Make receipts + returned cash &lt;&gt; float amount
2. Try to submit</t>
        </is>
      </c>
      <c r="E3" s="15" t="inlineStr"/>
      <c r="F3" s="15" t="inlineStr">
        <is>
          <t>Blocked with a clear reconciliation message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PC-CLR-03</t>
        </is>
      </c>
      <c r="B4" s="15" t="inlineStr">
        <is>
          <t>Detail</t>
        </is>
      </c>
      <c r="C4" s="15" t="inlineStr">
        <is>
          <t>Clearing detail</t>
        </is>
      </c>
      <c r="D4" s="15" t="inlineStr">
        <is>
          <t>1. Open a clearing record</t>
        </is>
      </c>
      <c r="E4" s="15" t="inlineStr"/>
      <c r="F4" s="15" t="inlineStr">
        <is>
          <t>Receipt lines, float reference, status history shown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PC-APR-01</t>
        </is>
      </c>
      <c r="B2" s="15" t="inlineStr">
        <is>
          <t>Queue</t>
        </is>
      </c>
      <c r="C2" s="15" t="inlineStr">
        <is>
          <t>Pending list (approver)</t>
        </is>
      </c>
      <c r="D2" s="15" t="inlineStr">
        <is>
          <t>1. Login as approver
2. Open Approvals</t>
        </is>
      </c>
      <c r="E2" s="17" t="inlineStr">
        <is>
          <t>Login AYESHA.AMERI — PC-2026-00008 (1,800) in the queue</t>
        </is>
      </c>
      <c r="F2" s="15" t="inlineStr">
        <is>
          <t>All PC items awaiting YOUR step; badge count matches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PC-APR-02</t>
        </is>
      </c>
      <c r="B3" s="15" t="inlineStr">
        <is>
          <t>Approve</t>
        </is>
      </c>
      <c r="C3" s="15" t="inlineStr">
        <is>
          <t>Approve with comment</t>
        </is>
      </c>
      <c r="D3" s="15" t="inlineStr">
        <is>
          <t>1. Open an item &gt; Approve (+ comment)</t>
        </is>
      </c>
      <c r="E3" s="17" t="inlineStr">
        <is>
          <t>PC-2026-00008 (SHAIKHA.ALSUWAIDI, 1,800) awaiting approval — approver AYESHA.AMERI</t>
        </is>
      </c>
      <c r="F3" s="15" t="inlineStr">
        <is>
          <t>Item leaves queue; requester notified; history shows approver + timestamp + comment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PC-APR-03</t>
        </is>
      </c>
      <c r="B4" s="15" t="inlineStr">
        <is>
          <t>Reject</t>
        </is>
      </c>
      <c r="C4" s="15" t="inlineStr">
        <is>
          <t>Reject with reason</t>
        </is>
      </c>
      <c r="D4" s="15" t="inlineStr">
        <is>
          <t>1. Reject another item with a reason</t>
        </is>
      </c>
      <c r="E4" s="17" t="inlineStr">
        <is>
          <t>PC-2026-00008 (SHAIKHA.ALSUWAIDI, 1,800) awaiting approval — approver AYESHA.AMERI</t>
        </is>
      </c>
      <c r="F4" s="15" t="inlineStr">
        <is>
          <t>Status rejected; requester notified with the reason</t>
        </is>
      </c>
      <c r="G4" s="16" t="inlineStr"/>
      <c r="H4" s="16" t="inlineStr"/>
      <c r="I4" s="16" t="inlineStr"/>
      <c r="J4" s="15" t="inlineStr"/>
    </row>
    <row r="5">
      <c r="A5" s="14" t="inlineStr">
        <is>
          <t>PC-APR-04</t>
        </is>
      </c>
      <c r="B5" s="15" t="inlineStr">
        <is>
          <t>Authorization</t>
        </is>
      </c>
      <c r="C5" s="15" t="inlineStr">
        <is>
          <t>Non-approver blocked</t>
        </is>
      </c>
      <c r="D5" s="15" t="inlineStr">
        <is>
          <t>1. Login as a regular user
2. Try the Approvals route</t>
        </is>
      </c>
      <c r="E5" s="17" t="inlineStr">
        <is>
          <t>PC-2026-00008 (SHAIKHA.ALSUWAIDI, 1,800) awaiting approval — approver AYESHA.AMERI</t>
        </is>
      </c>
      <c r="F5" s="15" t="inlineStr">
        <is>
          <t>No Approvals menu; direct navigation shows no queue/denied</t>
        </is>
      </c>
      <c r="G5" s="16" t="inlineStr"/>
      <c r="H5" s="16" t="inlineStr"/>
      <c r="I5" s="16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PC-ADM-01</t>
        </is>
      </c>
      <c r="B2" s="15" t="inlineStr">
        <is>
          <t>All Petty Cash</t>
        </is>
      </c>
      <c r="C2" s="15" t="inlineStr">
        <is>
          <t>Paged admin list</t>
        </is>
      </c>
      <c r="D2" s="15" t="inlineStr">
        <is>
          <t>1. Open All Petty Cash (admin)
2. Check pager '1-50 of N'
3. Search + filter by status</t>
        </is>
      </c>
      <c r="E2" s="15" t="inlineStr"/>
      <c r="F2" s="15" t="inlineStr">
        <is>
          <t>All requests org-wide; server pagination, search and status filter work together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PC-ADM-02</t>
        </is>
      </c>
      <c r="B3" s="15" t="inlineStr">
        <is>
          <t>All Reimbursements</t>
        </is>
      </c>
      <c r="C3" s="15" t="inlineStr">
        <is>
          <t>Admin list</t>
        </is>
      </c>
      <c r="D3" s="15" t="inlineStr">
        <is>
          <t>1. Open All Reimbursements</t>
        </is>
      </c>
      <c r="E3" s="15" t="inlineStr"/>
      <c r="F3" s="15" t="inlineStr">
        <is>
          <t>Org-wide list with status filters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PC-ADM-03</t>
        </is>
      </c>
      <c r="B4" s="15" t="inlineStr">
        <is>
          <t>All Clearings</t>
        </is>
      </c>
      <c r="C4" s="15" t="inlineStr">
        <is>
          <t>Admin list</t>
        </is>
      </c>
      <c r="D4" s="15" t="inlineStr">
        <is>
          <t>1. Open All Clearings</t>
        </is>
      </c>
      <c r="E4" s="15" t="inlineStr"/>
      <c r="F4" s="15" t="inlineStr">
        <is>
          <t>Org-wide list; links open details</t>
        </is>
      </c>
      <c r="G4" s="16" t="inlineStr"/>
      <c r="H4" s="16" t="inlineStr"/>
      <c r="I4" s="16" t="inlineStr"/>
      <c r="J4" s="15" t="inlineStr"/>
    </row>
    <row r="5">
      <c r="A5" s="14" t="inlineStr">
        <is>
          <t>PC-ADM-04</t>
        </is>
      </c>
      <c r="B5" s="15" t="inlineStr">
        <is>
          <t>Disburse</t>
        </is>
      </c>
      <c r="C5" s="15" t="inlineStr">
        <is>
          <t>Mark approved float disbursed</t>
        </is>
      </c>
      <c r="D5" s="15" t="inlineStr">
        <is>
          <t>1. Open an APPROVED request
2. Disburse (date/reference)</t>
        </is>
      </c>
      <c r="E5" s="17" t="inlineStr">
        <is>
          <t>PC-2026-00005 (NASER, 2,500) — approved, awaiting disbursement</t>
        </is>
      </c>
      <c r="F5" s="15" t="inlineStr">
        <is>
          <t>Status becomes DISBURSED; history updated; TEMPORARY floats start ageing</t>
        </is>
      </c>
      <c r="G5" s="16" t="inlineStr"/>
      <c r="H5" s="16" t="inlineStr"/>
      <c r="I5" s="16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PC-CFG-01</t>
        </is>
      </c>
      <c r="B2" s="15" t="inlineStr">
        <is>
          <t>GL codes</t>
        </is>
      </c>
      <c r="C2" s="15" t="inlineStr">
        <is>
          <t>Browse + search combinations</t>
        </is>
      </c>
      <c r="D2" s="15" t="inlineStr">
        <is>
          <t>1. Open GL Codes
2. Search a segment value</t>
        </is>
      </c>
      <c r="E2" s="15" t="inlineStr"/>
      <c r="F2" s="15" t="inlineStr">
        <is>
          <t>9-segment combinations listed with full code string; search filters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PC-CFG-02</t>
        </is>
      </c>
      <c r="B3" s="15" t="inlineStr">
        <is>
          <t>Approval rules</t>
        </is>
      </c>
      <c r="C3" s="15" t="inlineStr">
        <is>
          <t>View/edit PC rules</t>
        </is>
      </c>
      <c r="D3" s="15" t="inlineStr">
        <is>
          <t>1. Open Approval Rules
2. Review steps/amount thresholds</t>
        </is>
      </c>
      <c r="E3" s="15" t="inlineStr"/>
      <c r="F3" s="15" t="inlineStr">
        <is>
          <t>Rules display matches the configured approval template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PC-CFG-03</t>
        </is>
      </c>
      <c r="B4" s="15" t="inlineStr">
        <is>
          <t>Module settings</t>
        </is>
      </c>
      <c r="C4" s="15" t="inlineStr">
        <is>
          <t>PC settings incl. brand</t>
        </is>
      </c>
      <c r="D4" s="15" t="inlineStr">
        <is>
          <t>1. Open Module Settings
2. Edit a setting (e.g. THEME_BRAND_COLOR)
3. Hard-refresh</t>
        </is>
      </c>
      <c r="E4" s="15" t="inlineStr"/>
      <c r="F4" s="15" t="inlineStr">
        <is>
          <t>Setting persists; brand color change reflects in PC only (restore afterwards)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PC-SHL-01</t>
        </is>
      </c>
      <c r="B2" s="15" t="inlineStr">
        <is>
          <t>Switcher</t>
        </is>
      </c>
      <c r="C2" s="15" t="inlineStr">
        <is>
          <t>Back to Admin / other modules</t>
        </is>
      </c>
      <c r="D2" s="15" t="inlineStr">
        <is>
          <t>1. Use the top-bar module dropdown</t>
        </is>
      </c>
      <c r="E2" s="15" t="inlineStr"/>
      <c r="F2" s="15" t="inlineStr">
        <is>
          <t>Other apps open without re-login</t>
        </is>
      </c>
      <c r="G2" s="16" t="inlineStr"/>
      <c r="H2" s="16" t="inlineStr"/>
      <c r="I2" s="16" t="inlineStr"/>
      <c r="J2" s="15" t="inlineStr"/>
    </row>
    <row r="3">
      <c r="A3" s="14" t="inlineStr">
        <is>
          <t>PC-SHL-02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My Petty Cash + Dashboard</t>
        </is>
      </c>
      <c r="E3" s="15" t="inlineStr"/>
      <c r="F3" s="15" t="inlineStr">
        <is>
          <t>Shell + navigation in Arabic, layout mirrored, amounts keep Latin digits; lists still load</t>
        </is>
      </c>
      <c r="G3" s="16" t="inlineStr"/>
      <c r="H3" s="16" t="inlineStr"/>
      <c r="I3" s="16" t="inlineStr"/>
      <c r="J3" s="15" t="inlineStr"/>
    </row>
    <row r="4">
      <c r="A4" s="14" t="inlineStr">
        <is>
          <t>PC-SHL-03</t>
        </is>
      </c>
      <c r="B4" s="15" t="inlineStr">
        <is>
          <t>Notifications</t>
        </is>
      </c>
      <c r="C4" s="15" t="inlineStr">
        <is>
          <t>PC notifications</t>
        </is>
      </c>
      <c r="D4" s="15" t="inlineStr">
        <is>
          <t>1. Trigger an approval event
2. Check the bell</t>
        </is>
      </c>
      <c r="E4" s="15" t="inlineStr"/>
      <c r="F4" s="15" t="inlineStr">
        <is>
          <t>Notification received and readable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2026-06-12T00:09:16Z</dcterms:created>
  <dcterms:modified xmlns:dcterms="http://purl.org/dc/terms/" xmlns:xsi="http://www.w3.org/2001/XMLSchema-instance" xsi:type="dcterms:W3CDTF">2026-06-12T00:09:16Z</dcterms:modified>
</cp:coreProperties>
</file>