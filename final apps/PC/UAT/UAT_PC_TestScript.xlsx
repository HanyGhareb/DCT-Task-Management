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My Petty Cash" sheetId="4" state="visible" r:id="rId4"/>
    <sheet xmlns:r="http://schemas.openxmlformats.org/officeDocument/2006/relationships" name="Reimbursements" sheetId="5" state="visible" r:id="rId5"/>
    <sheet xmlns:r="http://schemas.openxmlformats.org/officeDocument/2006/relationships" name="Clearing" sheetId="6" state="visible" r:id="rId6"/>
    <sheet xmlns:r="http://schemas.openxmlformats.org/officeDocument/2006/relationships" name="Approvals" sheetId="7" state="visible" r:id="rId7"/>
    <sheet xmlns:r="http://schemas.openxmlformats.org/officeDocument/2006/relationships" name="Administration" sheetId="8" state="visible" r:id="rId8"/>
    <sheet xmlns:r="http://schemas.openxmlformats.org/officeDocument/2006/relationships" name="Configuration" sheetId="9" state="visible" r:id="rId9"/>
    <sheet xmlns:r="http://schemas.openxmlformats.org/officeDocument/2006/relationships" name="Shell &amp; Language" sheetId="10" state="visible" r:id="rId10"/>
  </sheets>
  <definedNames>
    <definedName name="_xlnm._FilterDatabase" localSheetId="1" hidden="1">'Access &amp; Session'!$A$1:$I$4</definedName>
    <definedName name="_xlnm._FilterDatabase" localSheetId="2" hidden="1">'Dashboard'!$A$1:$I$4</definedName>
    <definedName name="_xlnm._FilterDatabase" localSheetId="3" hidden="1">'My Petty Cash'!$A$1:$I$9</definedName>
    <definedName name="_xlnm._FilterDatabase" localSheetId="4" hidden="1">'Reimbursements'!$A$1:$I$4</definedName>
    <definedName name="_xlnm._FilterDatabase" localSheetId="5" hidden="1">'Clearing'!$A$1:$I$4</definedName>
    <definedName name="_xlnm._FilterDatabase" localSheetId="6" hidden="1">'Approvals'!$A$1:$I$5</definedName>
    <definedName name="_xlnm._FilterDatabase" localSheetId="7" hidden="1">'Administration'!$A$1:$I$5</definedName>
    <definedName name="_xlnm._FilterDatabase" localSheetId="8" hidden="1">'Configuration'!$A$1:$I$4</definedName>
    <definedName name="_xlnm._FilterDatabase" localSheetId="9" hidden="1">'Shell &amp; Language'!$A$1:$I$4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b val="1"/>
      <color rgb="002E7D32"/>
      <sz val="18"/>
    </font>
    <font>
      <b val="1"/>
      <color rgb="00444444"/>
      <sz val="12"/>
    </font>
    <font>
      <b val="1"/>
    </font>
    <font>
      <b val="1"/>
      <color rgb="002E7D32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7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color rgb="00546E7A"/>
      </font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i-Finance UAT Script</t>
        </is>
      </c>
    </row>
    <row r="3">
      <c r="B3" s="2" t="inlineStr">
        <is>
          <t>Petty Cash (App 201) — Floats, Reimbursements, Clearing</t>
        </is>
      </c>
    </row>
    <row r="5">
      <c r="B5" s="3" t="inlineStr">
        <is>
          <t>Environment URL</t>
        </is>
      </c>
      <c r="C5" t="inlineStr">
        <is>
          <t>(fill in: e.g. http://localhost:8080 or the deployed URL)</t>
        </is>
      </c>
    </row>
    <row r="6">
      <c r="B6" s="3" t="inlineStr">
        <is>
          <t>Build / version date</t>
        </is>
      </c>
      <c r="C6" t="inlineStr">
        <is>
          <t>2026-06-11</t>
        </is>
      </c>
    </row>
    <row r="7">
      <c r="B7" s="3" t="inlineStr">
        <is>
          <t>UAT round</t>
        </is>
      </c>
      <c r="C7" t="inlineStr"/>
    </row>
    <row r="8">
      <c r="B8" s="3" t="inlineStr">
        <is>
          <t>Lead tester</t>
        </is>
      </c>
      <c r="C8" t="inlineStr"/>
    </row>
    <row r="9">
      <c r="B9" s="3" t="inlineStr">
        <is>
          <t>Start date</t>
        </is>
      </c>
      <c r="C9" t="inlineStr"/>
    </row>
    <row r="10">
      <c r="B10" s="3" t="inlineStr">
        <is>
          <t>End date</t>
        </is>
      </c>
      <c r="C10" t="inlineStr"/>
    </row>
    <row r="12">
      <c r="B12" s="4" t="inlineStr">
        <is>
          <t>How to test</t>
        </is>
      </c>
    </row>
    <row r="13">
      <c r="B13" t="inlineStr">
        <is>
          <t>1. Each tab is one functional area. Work top-to-bottom; one row = one test case.</t>
        </is>
      </c>
    </row>
    <row r="14">
      <c r="B14" t="inlineStr">
        <is>
          <t>2. Follow the Steps column exactly; compare the outcome with Expected Result.</t>
        </is>
      </c>
    </row>
    <row r="15">
      <c r="B15" t="inlineStr">
        <is>
          <t>3. Set Status from the dropdown: Pass / Fail / Blocked / N/A.</t>
        </is>
      </c>
    </row>
    <row r="16">
      <c r="B16" t="inlineStr">
        <is>
          <t>4. On Fail or Blocked, ALWAYS fill Comments (what happened, screenshots reference, error text).</t>
        </is>
      </c>
    </row>
    <row r="17">
      <c r="B17" t="inlineStr">
        <is>
          <t>5. Fill Tested By + Test Date on every executed row.</t>
        </is>
      </c>
    </row>
    <row r="18">
      <c r="B18" t="inlineStr">
        <is>
          <t>6. Login accounts: use the quick-login buttons on the login page, or accounts provided by the admin. Never write passwords in this file.</t>
        </is>
      </c>
    </row>
    <row r="19">
      <c r="B19" t="inlineStr">
        <is>
          <t>7. Hard-refresh (Ctrl+F5) after the team deploys a fix before retesting.</t>
        </is>
      </c>
    </row>
    <row r="21">
      <c r="B21" s="4" t="inlineStr">
        <is>
          <t>Status legend</t>
        </is>
      </c>
    </row>
    <row r="22">
      <c r="B22" s="5" t="inlineStr">
        <is>
          <t>Pass</t>
        </is>
      </c>
      <c r="C22" t="inlineStr">
        <is>
          <t>Works exactly as the Expected Result describes</t>
        </is>
      </c>
    </row>
    <row r="23">
      <c r="B23" s="6" t="inlineStr">
        <is>
          <t>Fail</t>
        </is>
      </c>
      <c r="C23" t="inlineStr">
        <is>
          <t>Does not match the Expected Result (describe in Comments)</t>
        </is>
      </c>
    </row>
    <row r="24">
      <c r="B24" s="7" t="inlineStr">
        <is>
          <t>Blocked</t>
        </is>
      </c>
      <c r="C24" t="inlineStr">
        <is>
          <t>Cannot be executed (missing data/role/dependency failed)</t>
        </is>
      </c>
    </row>
    <row r="25">
      <c r="B25" s="8" t="inlineStr">
        <is>
          <t>N/A</t>
        </is>
      </c>
      <c r="C25" t="inlineStr">
        <is>
          <t>Not applicable to this round/role</t>
        </is>
      </c>
    </row>
    <row r="27">
      <c r="B27" s="4" t="inlineStr">
        <is>
          <t>Live summary</t>
        </is>
      </c>
    </row>
    <row r="28">
      <c r="B28" s="9" t="inlineStr">
        <is>
          <t>Functional area</t>
        </is>
      </c>
      <c r="C28" s="9" t="inlineStr">
        <is>
          <t>Cases</t>
        </is>
      </c>
      <c r="D28" s="9" t="inlineStr">
        <is>
          <t>Pass</t>
        </is>
      </c>
      <c r="E28" s="9" t="inlineStr">
        <is>
          <t>Fail</t>
        </is>
      </c>
      <c r="F28" s="9" t="inlineStr">
        <is>
          <t>Blocked</t>
        </is>
      </c>
      <c r="G28" s="9" t="inlineStr">
        <is>
          <t>Executed %</t>
        </is>
      </c>
    </row>
    <row r="29">
      <c r="B29" s="10" t="inlineStr">
        <is>
          <t>Access &amp; Session</t>
        </is>
      </c>
      <c r="C29" s="10" t="n">
        <v>3</v>
      </c>
      <c r="D29" s="10">
        <f>COUNTIF('Access &amp; Session'!F:F,"Pass")</f>
        <v/>
      </c>
      <c r="E29" s="10">
        <f>COUNTIF('Access &amp; Session'!F:F,"Fail")</f>
        <v/>
      </c>
      <c r="F29" s="10">
        <f>COUNTIF('Access &amp; Session'!F:F,"Blocked")</f>
        <v/>
      </c>
      <c r="G29" s="10">
        <f>ROUND(COUNTA('Access &amp; Session'!F2:F500)/C29*100,0)&amp;"%"</f>
        <v/>
      </c>
    </row>
    <row r="30">
      <c r="B30" s="10" t="inlineStr">
        <is>
          <t>Dashboard</t>
        </is>
      </c>
      <c r="C30" s="10" t="n">
        <v>3</v>
      </c>
      <c r="D30" s="10">
        <f>COUNTIF('Dashboard'!F:F,"Pass")</f>
        <v/>
      </c>
      <c r="E30" s="10">
        <f>COUNTIF('Dashboard'!F:F,"Fail")</f>
        <v/>
      </c>
      <c r="F30" s="10">
        <f>COUNTIF('Dashboard'!F:F,"Blocked")</f>
        <v/>
      </c>
      <c r="G30" s="10">
        <f>ROUND(COUNTA('Dashboard'!F2:F500)/C30*100,0)&amp;"%"</f>
        <v/>
      </c>
    </row>
    <row r="31">
      <c r="B31" s="10" t="inlineStr">
        <is>
          <t>My Petty Cash</t>
        </is>
      </c>
      <c r="C31" s="10" t="n">
        <v>8</v>
      </c>
      <c r="D31" s="10">
        <f>COUNTIF('My Petty Cash'!F:F,"Pass")</f>
        <v/>
      </c>
      <c r="E31" s="10">
        <f>COUNTIF('My Petty Cash'!F:F,"Fail")</f>
        <v/>
      </c>
      <c r="F31" s="10">
        <f>COUNTIF('My Petty Cash'!F:F,"Blocked")</f>
        <v/>
      </c>
      <c r="G31" s="10">
        <f>ROUND(COUNTA('My Petty Cash'!F2:F500)/C31*100,0)&amp;"%"</f>
        <v/>
      </c>
    </row>
    <row r="32">
      <c r="B32" s="10" t="inlineStr">
        <is>
          <t>Reimbursements</t>
        </is>
      </c>
      <c r="C32" s="10" t="n">
        <v>3</v>
      </c>
      <c r="D32" s="10">
        <f>COUNTIF('Reimbursements'!F:F,"Pass")</f>
        <v/>
      </c>
      <c r="E32" s="10">
        <f>COUNTIF('Reimbursements'!F:F,"Fail")</f>
        <v/>
      </c>
      <c r="F32" s="10">
        <f>COUNTIF('Reimbursements'!F:F,"Blocked")</f>
        <v/>
      </c>
      <c r="G32" s="10">
        <f>ROUND(COUNTA('Reimbursements'!F2:F500)/C32*100,0)&amp;"%"</f>
        <v/>
      </c>
    </row>
    <row r="33">
      <c r="B33" s="10" t="inlineStr">
        <is>
          <t>Clearing</t>
        </is>
      </c>
      <c r="C33" s="10" t="n">
        <v>3</v>
      </c>
      <c r="D33" s="10">
        <f>COUNTIF('Clearing'!F:F,"Pass")</f>
        <v/>
      </c>
      <c r="E33" s="10">
        <f>COUNTIF('Clearing'!F:F,"Fail")</f>
        <v/>
      </c>
      <c r="F33" s="10">
        <f>COUNTIF('Clearing'!F:F,"Blocked")</f>
        <v/>
      </c>
      <c r="G33" s="10">
        <f>ROUND(COUNTA('Clearing'!F2:F500)/C33*100,0)&amp;"%"</f>
        <v/>
      </c>
    </row>
    <row r="34">
      <c r="B34" s="10" t="inlineStr">
        <is>
          <t>Approvals</t>
        </is>
      </c>
      <c r="C34" s="10" t="n">
        <v>4</v>
      </c>
      <c r="D34" s="10">
        <f>COUNTIF('Approvals'!F:F,"Pass")</f>
        <v/>
      </c>
      <c r="E34" s="10">
        <f>COUNTIF('Approvals'!F:F,"Fail")</f>
        <v/>
      </c>
      <c r="F34" s="10">
        <f>COUNTIF('Approvals'!F:F,"Blocked")</f>
        <v/>
      </c>
      <c r="G34" s="10">
        <f>ROUND(COUNTA('Approvals'!F2:F500)/C34*100,0)&amp;"%"</f>
        <v/>
      </c>
    </row>
    <row r="35">
      <c r="B35" s="10" t="inlineStr">
        <is>
          <t>Administration</t>
        </is>
      </c>
      <c r="C35" s="10" t="n">
        <v>4</v>
      </c>
      <c r="D35" s="10">
        <f>COUNTIF('Administration'!F:F,"Pass")</f>
        <v/>
      </c>
      <c r="E35" s="10">
        <f>COUNTIF('Administration'!F:F,"Fail")</f>
        <v/>
      </c>
      <c r="F35" s="10">
        <f>COUNTIF('Administration'!F:F,"Blocked")</f>
        <v/>
      </c>
      <c r="G35" s="10">
        <f>ROUND(COUNTA('Administration'!F2:F500)/C35*100,0)&amp;"%"</f>
        <v/>
      </c>
    </row>
    <row r="36">
      <c r="B36" s="10" t="inlineStr">
        <is>
          <t>Configuration</t>
        </is>
      </c>
      <c r="C36" s="10" t="n">
        <v>3</v>
      </c>
      <c r="D36" s="10">
        <f>COUNTIF('Configuration'!F:F,"Pass")</f>
        <v/>
      </c>
      <c r="E36" s="10">
        <f>COUNTIF('Configuration'!F:F,"Fail")</f>
        <v/>
      </c>
      <c r="F36" s="10">
        <f>COUNTIF('Configuration'!F:F,"Blocked")</f>
        <v/>
      </c>
      <c r="G36" s="10">
        <f>ROUND(COUNTA('Configuration'!F2:F500)/C36*100,0)&amp;"%"</f>
        <v/>
      </c>
    </row>
    <row r="37">
      <c r="B37" s="10" t="inlineStr">
        <is>
          <t>Shell &amp; Language</t>
        </is>
      </c>
      <c r="C37" s="10" t="n">
        <v>3</v>
      </c>
      <c r="D37" s="10">
        <f>COUNTIF('Shell &amp; Language'!F:F,"Pass")</f>
        <v/>
      </c>
      <c r="E37" s="10">
        <f>COUNTIF('Shell &amp; Language'!F:F,"Fail")</f>
        <v/>
      </c>
      <c r="F37" s="10">
        <f>COUNTIF('Shell &amp; Language'!F:F,"Blocked")</f>
        <v/>
      </c>
      <c r="G37" s="10">
        <f>ROUND(COUNTA('Shell &amp; Language'!F2:F500)/C37*100,0)&amp;"%"</f>
        <v/>
      </c>
    </row>
    <row r="38">
      <c r="B38" s="11" t="inlineStr">
        <is>
          <t>TOTAL</t>
        </is>
      </c>
      <c r="C38" s="11">
        <f>SUM(C29:C37)</f>
        <v/>
      </c>
      <c r="D38" s="11">
        <f>SUM(D29:D37)</f>
        <v/>
      </c>
      <c r="E38" s="11">
        <f>SUM(E29:E37)</f>
        <v/>
      </c>
      <c r="F38" s="11">
        <f>SUM(F29:F37)</f>
        <v/>
      </c>
    </row>
  </sheetData>
  <mergeCells count="17">
    <mergeCell ref="B16:G16"/>
    <mergeCell ref="B19:G19"/>
    <mergeCell ref="C7:G7"/>
    <mergeCell ref="C6:G6"/>
    <mergeCell ref="C10:G10"/>
    <mergeCell ref="B14:G14"/>
    <mergeCell ref="C24:G24"/>
    <mergeCell ref="B17:G17"/>
    <mergeCell ref="C25:G25"/>
    <mergeCell ref="C5:G5"/>
    <mergeCell ref="B18:G18"/>
    <mergeCell ref="B13:G13"/>
    <mergeCell ref="C23:G23"/>
    <mergeCell ref="C22:G22"/>
    <mergeCell ref="C8:G8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2" t="inlineStr">
        <is>
          <t>Test ID</t>
        </is>
      </c>
      <c r="B1" s="12" t="inlineStr">
        <is>
          <t>Function</t>
        </is>
      </c>
      <c r="C1" s="12" t="inlineStr">
        <is>
          <t>Test Scenario</t>
        </is>
      </c>
      <c r="D1" s="12" t="inlineStr">
        <is>
          <t>Steps</t>
        </is>
      </c>
      <c r="E1" s="12" t="inlineStr">
        <is>
          <t>Expected Result</t>
        </is>
      </c>
      <c r="F1" s="12" t="inlineStr">
        <is>
          <t>Status</t>
        </is>
      </c>
      <c r="G1" s="12" t="inlineStr">
        <is>
          <t>Tested By</t>
        </is>
      </c>
      <c r="H1" s="12" t="inlineStr">
        <is>
          <t>Test Date</t>
        </is>
      </c>
      <c r="I1" s="12" t="inlineStr">
        <is>
          <t>Comments / Defect Ref</t>
        </is>
      </c>
    </row>
    <row r="2">
      <c r="A2" s="13" t="inlineStr">
        <is>
          <t>PC-ACC-01</t>
        </is>
      </c>
      <c r="B2" s="14" t="inlineStr">
        <is>
          <t>Shared session</t>
        </is>
      </c>
      <c r="C2" s="14" t="inlineStr">
        <is>
          <t>Entry from Admin</t>
        </is>
      </c>
      <c r="D2" s="14" t="inlineStr">
        <is>
          <t>1. Login in the Admin app
2. Use the module switcher to open Petty Cash</t>
        </is>
      </c>
      <c r="E2" s="14" t="inlineStr">
        <is>
          <t>PC opens logged-in (no second login); your name in the top bar</t>
        </is>
      </c>
      <c r="F2" s="15" t="inlineStr"/>
      <c r="G2" s="15" t="inlineStr"/>
      <c r="H2" s="15" t="inlineStr"/>
      <c r="I2" s="14" t="inlineStr"/>
    </row>
    <row r="3">
      <c r="A3" s="13" t="inlineStr">
        <is>
          <t>PC-ACC-02</t>
        </is>
      </c>
      <c r="B3" s="14" t="inlineStr">
        <is>
          <t>No session</t>
        </is>
      </c>
      <c r="C3" s="14" t="inlineStr">
        <is>
          <t>Direct open without login</t>
        </is>
      </c>
      <c r="D3" s="14" t="inlineStr">
        <is>
          <t>1. Logout (or new private window)
2. Open the PC app URL directly</t>
        </is>
      </c>
      <c r="E3" s="14" t="inlineStr">
        <is>
          <t>Redirected to the Admin login page</t>
        </is>
      </c>
      <c r="F3" s="15" t="inlineStr"/>
      <c r="G3" s="15" t="inlineStr"/>
      <c r="H3" s="15" t="inlineStr"/>
      <c r="I3" s="14" t="inlineStr"/>
    </row>
    <row r="4">
      <c r="A4" s="13" t="inlineStr">
        <is>
          <t>PC-ACC-03</t>
        </is>
      </c>
      <c r="B4" s="14" t="inlineStr">
        <is>
          <t>Role gating</t>
        </is>
      </c>
      <c r="C4" s="14" t="inlineStr">
        <is>
          <t>Approver/Admin menus</t>
        </is>
      </c>
      <c r="D4" s="14" t="inlineStr">
        <is>
          <t>1. Login as a regular user, then as a PC admin</t>
        </is>
      </c>
      <c r="E4" s="14" t="inlineStr">
        <is>
          <t>Approvals group only for approvers; All Petty Cash/Configuration only for admins</t>
        </is>
      </c>
      <c r="F4" s="15" t="inlineStr"/>
      <c r="G4" s="15" t="inlineStr"/>
      <c r="H4" s="15" t="inlineStr"/>
      <c r="I4" s="14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2" t="inlineStr">
        <is>
          <t>Test ID</t>
        </is>
      </c>
      <c r="B1" s="12" t="inlineStr">
        <is>
          <t>Function</t>
        </is>
      </c>
      <c r="C1" s="12" t="inlineStr">
        <is>
          <t>Test Scenario</t>
        </is>
      </c>
      <c r="D1" s="12" t="inlineStr">
        <is>
          <t>Steps</t>
        </is>
      </c>
      <c r="E1" s="12" t="inlineStr">
        <is>
          <t>Expected Result</t>
        </is>
      </c>
      <c r="F1" s="12" t="inlineStr">
        <is>
          <t>Status</t>
        </is>
      </c>
      <c r="G1" s="12" t="inlineStr">
        <is>
          <t>Tested By</t>
        </is>
      </c>
      <c r="H1" s="12" t="inlineStr">
        <is>
          <t>Test Date</t>
        </is>
      </c>
      <c r="I1" s="12" t="inlineStr">
        <is>
          <t>Comments / Defect Ref</t>
        </is>
      </c>
    </row>
    <row r="2">
      <c r="A2" s="13" t="inlineStr">
        <is>
          <t>PC-DSH-01</t>
        </is>
      </c>
      <c r="B2" s="14" t="inlineStr">
        <is>
          <t>Stats</t>
        </is>
      </c>
      <c r="C2" s="14" t="inlineStr">
        <is>
          <t>Cards show live numbers</t>
        </is>
      </c>
      <c r="D2" s="14" t="inlineStr">
        <is>
          <t>1. Open PC Dashboard</t>
        </is>
      </c>
      <c r="E2" s="14" t="inlineStr">
        <is>
          <t>Cards (my floats, pending, totals) show sensible non-error values</t>
        </is>
      </c>
      <c r="F2" s="15" t="inlineStr"/>
      <c r="G2" s="15" t="inlineStr"/>
      <c r="H2" s="15" t="inlineStr"/>
      <c r="I2" s="14" t="inlineStr"/>
    </row>
    <row r="3">
      <c r="A3" s="13" t="inlineStr">
        <is>
          <t>PC-DSH-02</t>
        </is>
      </c>
      <c r="B3" s="14" t="inlineStr">
        <is>
          <t>Charts</t>
        </is>
      </c>
      <c r="C3" s="14" t="inlineStr">
        <is>
          <t>Floats by org + ageing</t>
        </is>
      </c>
      <c r="D3" s="14" t="inlineStr">
        <is>
          <t>1. Wait for both charts</t>
        </is>
      </c>
      <c r="E3" s="14" t="inlineStr">
        <is>
          <t>Outstanding floats by organisation bar chart + TEMPORARY ageing chart render correctly</t>
        </is>
      </c>
      <c r="F3" s="15" t="inlineStr"/>
      <c r="G3" s="15" t="inlineStr"/>
      <c r="H3" s="15" t="inlineStr"/>
      <c r="I3" s="14" t="inlineStr"/>
    </row>
    <row r="4">
      <c r="A4" s="13" t="inlineStr">
        <is>
          <t>PC-DSH-03</t>
        </is>
      </c>
      <c r="B4" s="14" t="inlineStr">
        <is>
          <t>Charts</t>
        </is>
      </c>
      <c r="C4" s="14" t="inlineStr">
        <is>
          <t>Re-render on return</t>
        </is>
      </c>
      <c r="D4" s="14" t="inlineStr">
        <is>
          <t>1. Navigate away and back</t>
        </is>
      </c>
      <c r="E4" s="14" t="inlineStr">
        <is>
          <t>Charts render again, not blank/duplicated</t>
        </is>
      </c>
      <c r="F4" s="15" t="inlineStr"/>
      <c r="G4" s="15" t="inlineStr"/>
      <c r="H4" s="15" t="inlineStr"/>
      <c r="I4" s="14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2" t="inlineStr">
        <is>
          <t>Test ID</t>
        </is>
      </c>
      <c r="B1" s="12" t="inlineStr">
        <is>
          <t>Function</t>
        </is>
      </c>
      <c r="C1" s="12" t="inlineStr">
        <is>
          <t>Test Scenario</t>
        </is>
      </c>
      <c r="D1" s="12" t="inlineStr">
        <is>
          <t>Steps</t>
        </is>
      </c>
      <c r="E1" s="12" t="inlineStr">
        <is>
          <t>Expected Result</t>
        </is>
      </c>
      <c r="F1" s="12" t="inlineStr">
        <is>
          <t>Status</t>
        </is>
      </c>
      <c r="G1" s="12" t="inlineStr">
        <is>
          <t>Tested By</t>
        </is>
      </c>
      <c r="H1" s="12" t="inlineStr">
        <is>
          <t>Test Date</t>
        </is>
      </c>
      <c r="I1" s="12" t="inlineStr">
        <is>
          <t>Comments / Defect Ref</t>
        </is>
      </c>
    </row>
    <row r="2">
      <c r="A2" s="13" t="inlineStr">
        <is>
          <t>PC-MPC-01</t>
        </is>
      </c>
      <c r="B2" s="14" t="inlineStr">
        <is>
          <t>My list</t>
        </is>
      </c>
      <c r="C2" s="14" t="inlineStr">
        <is>
          <t>My requests only</t>
        </is>
      </c>
      <c r="D2" s="14" t="inlineStr">
        <is>
          <t>1. Open My Petty Cash</t>
        </is>
      </c>
      <c r="E2" s="14" t="inlineStr">
        <is>
          <t>Only YOUR petty cash requests, with number, type, amount, status badge</t>
        </is>
      </c>
      <c r="F2" s="15" t="inlineStr"/>
      <c r="G2" s="15" t="inlineStr"/>
      <c r="H2" s="15" t="inlineStr"/>
      <c r="I2" s="14" t="inlineStr"/>
    </row>
    <row r="3">
      <c r="A3" s="13" t="inlineStr">
        <is>
          <t>PC-MPC-02</t>
        </is>
      </c>
      <c r="B3" s="14" t="inlineStr">
        <is>
          <t>Create</t>
        </is>
      </c>
      <c r="C3" s="14" t="inlineStr">
        <is>
          <t>PERMANENT float request</t>
        </is>
      </c>
      <c r="D3" s="14" t="inlineStr">
        <is>
          <t>1. New Petty Cash Request
2. Type=PERMANENT, amount, justification
3. Add GL coding line(s) summing to the amount
4. Save draft</t>
        </is>
      </c>
      <c r="E3" s="14" t="inlineStr">
        <is>
          <t>Draft created with number PC-YYYY-NNNNN; appears in My Petty Cash as DRAFT</t>
        </is>
      </c>
      <c r="F3" s="15" t="inlineStr"/>
      <c r="G3" s="15" t="inlineStr"/>
      <c r="H3" s="15" t="inlineStr"/>
      <c r="I3" s="14" t="inlineStr"/>
    </row>
    <row r="4">
      <c r="A4" s="13" t="inlineStr">
        <is>
          <t>PC-MPC-03</t>
        </is>
      </c>
      <c r="B4" s="14" t="inlineStr">
        <is>
          <t>Create</t>
        </is>
      </c>
      <c r="C4" s="14" t="inlineStr">
        <is>
          <t>TEMPORARY float request</t>
        </is>
      </c>
      <c r="D4" s="14" t="inlineStr">
        <is>
          <t>1. Same with Type=TEMPORARY + needed-by/return date</t>
        </is>
      </c>
      <c r="E4" s="14" t="inlineStr">
        <is>
          <t>Draft created; type shown correctly</t>
        </is>
      </c>
      <c r="F4" s="15" t="inlineStr"/>
      <c r="G4" s="15" t="inlineStr"/>
      <c r="H4" s="15" t="inlineStr"/>
      <c r="I4" s="14" t="inlineStr"/>
    </row>
    <row r="5">
      <c r="A5" s="13" t="inlineStr">
        <is>
          <t>PC-MPC-04</t>
        </is>
      </c>
      <c r="B5" s="14" t="inlineStr">
        <is>
          <t>Validation</t>
        </is>
      </c>
      <c r="C5" s="14" t="inlineStr">
        <is>
          <t>Coding must equal amount</t>
        </is>
      </c>
      <c r="D5" s="14" t="inlineStr">
        <is>
          <t>1. Create a request where coding lines total &lt;&gt; requested amount
2. Try to submit</t>
        </is>
      </c>
      <c r="E5" s="14" t="inlineStr">
        <is>
          <t>Submission blocked with a clear message</t>
        </is>
      </c>
      <c r="F5" s="15" t="inlineStr"/>
      <c r="G5" s="15" t="inlineStr"/>
      <c r="H5" s="15" t="inlineStr"/>
      <c r="I5" s="14" t="inlineStr"/>
    </row>
    <row r="6">
      <c r="A6" s="13" t="inlineStr">
        <is>
          <t>PC-MPC-05</t>
        </is>
      </c>
      <c r="B6" s="14" t="inlineStr">
        <is>
          <t>Validation</t>
        </is>
      </c>
      <c r="C6" s="14" t="inlineStr">
        <is>
          <t>Required fields</t>
        </is>
      </c>
      <c r="D6" s="14" t="inlineStr">
        <is>
          <t>1. Try saving with empty amount / justification</t>
        </is>
      </c>
      <c r="E6" s="14" t="inlineStr">
        <is>
          <t>Field-level validation errors; nothing saved</t>
        </is>
      </c>
      <c r="F6" s="15" t="inlineStr"/>
      <c r="G6" s="15" t="inlineStr"/>
      <c r="H6" s="15" t="inlineStr"/>
      <c r="I6" s="14" t="inlineStr"/>
    </row>
    <row r="7">
      <c r="A7" s="13" t="inlineStr">
        <is>
          <t>PC-MPC-06</t>
        </is>
      </c>
      <c r="B7" s="14" t="inlineStr">
        <is>
          <t>Submit</t>
        </is>
      </c>
      <c r="C7" s="14" t="inlineStr">
        <is>
          <t>Send for approval</t>
        </is>
      </c>
      <c r="D7" s="14" t="inlineStr">
        <is>
          <t>1. Open a DRAFT request
2. Click Submit</t>
        </is>
      </c>
      <c r="E7" s="14" t="inlineStr">
        <is>
          <t>Status changes to submitted/pending; appears in the approver's queue; status history records the event</t>
        </is>
      </c>
      <c r="F7" s="15" t="inlineStr"/>
      <c r="G7" s="15" t="inlineStr"/>
      <c r="H7" s="15" t="inlineStr"/>
      <c r="I7" s="14" t="inlineStr"/>
    </row>
    <row r="8">
      <c r="A8" s="13" t="inlineStr">
        <is>
          <t>PC-MPC-07</t>
        </is>
      </c>
      <c r="B8" s="14" t="inlineStr">
        <is>
          <t>Detail</t>
        </is>
      </c>
      <c r="C8" s="14" t="inlineStr">
        <is>
          <t>Request detail</t>
        </is>
      </c>
      <c r="D8" s="14" t="inlineStr">
        <is>
          <t>1. Open a request from the list</t>
        </is>
      </c>
      <c r="E8" s="14" t="inlineStr">
        <is>
          <t>Full detail: amounts, coding lines, status history timeline, documents</t>
        </is>
      </c>
      <c r="F8" s="15" t="inlineStr"/>
      <c r="G8" s="15" t="inlineStr"/>
      <c r="H8" s="15" t="inlineStr"/>
      <c r="I8" s="14" t="inlineStr"/>
    </row>
    <row r="9">
      <c r="A9" s="13" t="inlineStr">
        <is>
          <t>PC-MPC-08</t>
        </is>
      </c>
      <c r="B9" s="14" t="inlineStr">
        <is>
          <t>Withdraw</t>
        </is>
      </c>
      <c r="C9" s="14" t="inlineStr">
        <is>
          <t>Withdraw a submitted request</t>
        </is>
      </c>
      <c r="D9" s="14" t="inlineStr">
        <is>
          <t>1. Open your submitted request
2. Withdraw</t>
        </is>
      </c>
      <c r="E9" s="14" t="inlineStr">
        <is>
          <t>Status returns to draft/withdrawn; it leaves the approver queue</t>
        </is>
      </c>
      <c r="F9" s="15" t="inlineStr"/>
      <c r="G9" s="15" t="inlineStr"/>
      <c r="H9" s="15" t="inlineStr"/>
      <c r="I9" s="14" t="inlineStr"/>
    </row>
  </sheetData>
  <autoFilter ref="A1:I9"/>
  <conditionalFormatting sqref="F2:F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9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2" t="inlineStr">
        <is>
          <t>Test ID</t>
        </is>
      </c>
      <c r="B1" s="12" t="inlineStr">
        <is>
          <t>Function</t>
        </is>
      </c>
      <c r="C1" s="12" t="inlineStr">
        <is>
          <t>Test Scenario</t>
        </is>
      </c>
      <c r="D1" s="12" t="inlineStr">
        <is>
          <t>Steps</t>
        </is>
      </c>
      <c r="E1" s="12" t="inlineStr">
        <is>
          <t>Expected Result</t>
        </is>
      </c>
      <c r="F1" s="12" t="inlineStr">
        <is>
          <t>Status</t>
        </is>
      </c>
      <c r="G1" s="12" t="inlineStr">
        <is>
          <t>Tested By</t>
        </is>
      </c>
      <c r="H1" s="12" t="inlineStr">
        <is>
          <t>Test Date</t>
        </is>
      </c>
      <c r="I1" s="12" t="inlineStr">
        <is>
          <t>Comments / Defect Ref</t>
        </is>
      </c>
    </row>
    <row r="2">
      <c r="A2" s="13" t="inlineStr">
        <is>
          <t>PC-RMB-01</t>
        </is>
      </c>
      <c r="B2" s="14" t="inlineStr">
        <is>
          <t>Create</t>
        </is>
      </c>
      <c r="C2" s="14" t="inlineStr">
        <is>
          <t>New reimbursement</t>
        </is>
      </c>
      <c r="D2" s="14" t="inlineStr">
        <is>
          <t>1. Open Reimbursements &gt; New
2. Add expense lines (date, GL code, amount, description)
3. Save + Submit</t>
        </is>
      </c>
      <c r="E2" s="14" t="inlineStr">
        <is>
          <t>Reimbursement created with its own number; goes to approval</t>
        </is>
      </c>
      <c r="F2" s="15" t="inlineStr"/>
      <c r="G2" s="15" t="inlineStr"/>
      <c r="H2" s="15" t="inlineStr"/>
      <c r="I2" s="14" t="inlineStr"/>
    </row>
    <row r="3">
      <c r="A3" s="13" t="inlineStr">
        <is>
          <t>PC-RMB-02</t>
        </is>
      </c>
      <c r="B3" s="14" t="inlineStr">
        <is>
          <t>Detail</t>
        </is>
      </c>
      <c r="C3" s="14" t="inlineStr">
        <is>
          <t>Line items + history</t>
        </is>
      </c>
      <c r="D3" s="14" t="inlineStr">
        <is>
          <t>1. Open a reimbursement</t>
        </is>
      </c>
      <c r="E3" s="14" t="inlineStr">
        <is>
          <t>Lines, totals, status history all shown</t>
        </is>
      </c>
      <c r="F3" s="15" t="inlineStr"/>
      <c r="G3" s="15" t="inlineStr"/>
      <c r="H3" s="15" t="inlineStr"/>
      <c r="I3" s="14" t="inlineStr"/>
    </row>
    <row r="4">
      <c r="A4" s="13" t="inlineStr">
        <is>
          <t>PC-RMB-03</t>
        </is>
      </c>
      <c r="B4" s="14" t="inlineStr">
        <is>
          <t>My list</t>
        </is>
      </c>
      <c r="C4" s="14" t="inlineStr">
        <is>
          <t>Status tracking</t>
        </is>
      </c>
      <c r="D4" s="14" t="inlineStr">
        <is>
          <t>1. Check list after submit/approval</t>
        </is>
      </c>
      <c r="E4" s="14" t="inlineStr">
        <is>
          <t>Status badge updates through the lifecycle</t>
        </is>
      </c>
      <c r="F4" s="15" t="inlineStr"/>
      <c r="G4" s="15" t="inlineStr"/>
      <c r="H4" s="15" t="inlineStr"/>
      <c r="I4" s="14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2" t="inlineStr">
        <is>
          <t>Test ID</t>
        </is>
      </c>
      <c r="B1" s="12" t="inlineStr">
        <is>
          <t>Function</t>
        </is>
      </c>
      <c r="C1" s="12" t="inlineStr">
        <is>
          <t>Test Scenario</t>
        </is>
      </c>
      <c r="D1" s="12" t="inlineStr">
        <is>
          <t>Steps</t>
        </is>
      </c>
      <c r="E1" s="12" t="inlineStr">
        <is>
          <t>Expected Result</t>
        </is>
      </c>
      <c r="F1" s="12" t="inlineStr">
        <is>
          <t>Status</t>
        </is>
      </c>
      <c r="G1" s="12" t="inlineStr">
        <is>
          <t>Tested By</t>
        </is>
      </c>
      <c r="H1" s="12" t="inlineStr">
        <is>
          <t>Test Date</t>
        </is>
      </c>
      <c r="I1" s="12" t="inlineStr">
        <is>
          <t>Comments / Defect Ref</t>
        </is>
      </c>
    </row>
    <row r="2">
      <c r="A2" s="13" t="inlineStr">
        <is>
          <t>PC-CLR-01</t>
        </is>
      </c>
      <c r="B2" s="14" t="inlineStr">
        <is>
          <t>Create</t>
        </is>
      </c>
      <c r="C2" s="14" t="inlineStr">
        <is>
          <t>Clear a TEMPORARY float</t>
        </is>
      </c>
      <c r="D2" s="14" t="inlineStr">
        <is>
          <t>1. Open Clearing &gt; New for a disbursed TEMPORARY float
2. Add receipts/expense lines + returned amount
3. Submit</t>
        </is>
      </c>
      <c r="E2" s="14" t="inlineStr">
        <is>
          <t>Clearing created; float and clearing linked; goes to approval</t>
        </is>
      </c>
      <c r="F2" s="15" t="inlineStr"/>
      <c r="G2" s="15" t="inlineStr"/>
      <c r="H2" s="15" t="inlineStr"/>
      <c r="I2" s="14" t="inlineStr"/>
    </row>
    <row r="3">
      <c r="A3" s="13" t="inlineStr">
        <is>
          <t>PC-CLR-02</t>
        </is>
      </c>
      <c r="B3" s="14" t="inlineStr">
        <is>
          <t>Validation</t>
        </is>
      </c>
      <c r="C3" s="14" t="inlineStr">
        <is>
          <t>Totals must reconcile</t>
        </is>
      </c>
      <c r="D3" s="14" t="inlineStr">
        <is>
          <t>1. Make receipts + returned cash &lt;&gt; float amount
2. Try to submit</t>
        </is>
      </c>
      <c r="E3" s="14" t="inlineStr">
        <is>
          <t>Blocked with a clear reconciliation message</t>
        </is>
      </c>
      <c r="F3" s="15" t="inlineStr"/>
      <c r="G3" s="15" t="inlineStr"/>
      <c r="H3" s="15" t="inlineStr"/>
      <c r="I3" s="14" t="inlineStr"/>
    </row>
    <row r="4">
      <c r="A4" s="13" t="inlineStr">
        <is>
          <t>PC-CLR-03</t>
        </is>
      </c>
      <c r="B4" s="14" t="inlineStr">
        <is>
          <t>Detail</t>
        </is>
      </c>
      <c r="C4" s="14" t="inlineStr">
        <is>
          <t>Clearing detail</t>
        </is>
      </c>
      <c r="D4" s="14" t="inlineStr">
        <is>
          <t>1. Open a clearing record</t>
        </is>
      </c>
      <c r="E4" s="14" t="inlineStr">
        <is>
          <t>Receipt lines, float reference, status history shown</t>
        </is>
      </c>
      <c r="F4" s="15" t="inlineStr"/>
      <c r="G4" s="15" t="inlineStr"/>
      <c r="H4" s="15" t="inlineStr"/>
      <c r="I4" s="14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2" t="inlineStr">
        <is>
          <t>Test ID</t>
        </is>
      </c>
      <c r="B1" s="12" t="inlineStr">
        <is>
          <t>Function</t>
        </is>
      </c>
      <c r="C1" s="12" t="inlineStr">
        <is>
          <t>Test Scenario</t>
        </is>
      </c>
      <c r="D1" s="12" t="inlineStr">
        <is>
          <t>Steps</t>
        </is>
      </c>
      <c r="E1" s="12" t="inlineStr">
        <is>
          <t>Expected Result</t>
        </is>
      </c>
      <c r="F1" s="12" t="inlineStr">
        <is>
          <t>Status</t>
        </is>
      </c>
      <c r="G1" s="12" t="inlineStr">
        <is>
          <t>Tested By</t>
        </is>
      </c>
      <c r="H1" s="12" t="inlineStr">
        <is>
          <t>Test Date</t>
        </is>
      </c>
      <c r="I1" s="12" t="inlineStr">
        <is>
          <t>Comments / Defect Ref</t>
        </is>
      </c>
    </row>
    <row r="2">
      <c r="A2" s="13" t="inlineStr">
        <is>
          <t>PC-APR-01</t>
        </is>
      </c>
      <c r="B2" s="14" t="inlineStr">
        <is>
          <t>Queue</t>
        </is>
      </c>
      <c r="C2" s="14" t="inlineStr">
        <is>
          <t>Pending list (approver)</t>
        </is>
      </c>
      <c r="D2" s="14" t="inlineStr">
        <is>
          <t>1. Login as approver
2. Open Approvals</t>
        </is>
      </c>
      <c r="E2" s="14" t="inlineStr">
        <is>
          <t>All PC items awaiting YOUR step; badge count matches</t>
        </is>
      </c>
      <c r="F2" s="15" t="inlineStr"/>
      <c r="G2" s="15" t="inlineStr"/>
      <c r="H2" s="15" t="inlineStr"/>
      <c r="I2" s="14" t="inlineStr"/>
    </row>
    <row r="3">
      <c r="A3" s="13" t="inlineStr">
        <is>
          <t>PC-APR-02</t>
        </is>
      </c>
      <c r="B3" s="14" t="inlineStr">
        <is>
          <t>Approve</t>
        </is>
      </c>
      <c r="C3" s="14" t="inlineStr">
        <is>
          <t>Approve with comment</t>
        </is>
      </c>
      <c r="D3" s="14" t="inlineStr">
        <is>
          <t>1. Open an item &gt; Approve (+ comment)</t>
        </is>
      </c>
      <c r="E3" s="14" t="inlineStr">
        <is>
          <t>Item leaves queue; requester notified; history shows approver + timestamp + comment</t>
        </is>
      </c>
      <c r="F3" s="15" t="inlineStr"/>
      <c r="G3" s="15" t="inlineStr"/>
      <c r="H3" s="15" t="inlineStr"/>
      <c r="I3" s="14" t="inlineStr"/>
    </row>
    <row r="4">
      <c r="A4" s="13" t="inlineStr">
        <is>
          <t>PC-APR-03</t>
        </is>
      </c>
      <c r="B4" s="14" t="inlineStr">
        <is>
          <t>Reject</t>
        </is>
      </c>
      <c r="C4" s="14" t="inlineStr">
        <is>
          <t>Reject with reason</t>
        </is>
      </c>
      <c r="D4" s="14" t="inlineStr">
        <is>
          <t>1. Reject another item with a reason</t>
        </is>
      </c>
      <c r="E4" s="14" t="inlineStr">
        <is>
          <t>Status rejected; requester notified with the reason</t>
        </is>
      </c>
      <c r="F4" s="15" t="inlineStr"/>
      <c r="G4" s="15" t="inlineStr"/>
      <c r="H4" s="15" t="inlineStr"/>
      <c r="I4" s="14" t="inlineStr"/>
    </row>
    <row r="5">
      <c r="A5" s="13" t="inlineStr">
        <is>
          <t>PC-APR-04</t>
        </is>
      </c>
      <c r="B5" s="14" t="inlineStr">
        <is>
          <t>Authorization</t>
        </is>
      </c>
      <c r="C5" s="14" t="inlineStr">
        <is>
          <t>Non-approver blocked</t>
        </is>
      </c>
      <c r="D5" s="14" t="inlineStr">
        <is>
          <t>1. Login as a regular user
2. Try the Approvals route</t>
        </is>
      </c>
      <c r="E5" s="14" t="inlineStr">
        <is>
          <t>No Approvals menu; direct navigation shows no queue/denied</t>
        </is>
      </c>
      <c r="F5" s="15" t="inlineStr"/>
      <c r="G5" s="15" t="inlineStr"/>
      <c r="H5" s="15" t="inlineStr"/>
      <c r="I5" s="14" t="inlineStr"/>
    </row>
  </sheetData>
  <autoFilter ref="A1:I5"/>
  <conditionalFormatting sqref="F2:F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5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2" t="inlineStr">
        <is>
          <t>Test ID</t>
        </is>
      </c>
      <c r="B1" s="12" t="inlineStr">
        <is>
          <t>Function</t>
        </is>
      </c>
      <c r="C1" s="12" t="inlineStr">
        <is>
          <t>Test Scenario</t>
        </is>
      </c>
      <c r="D1" s="12" t="inlineStr">
        <is>
          <t>Steps</t>
        </is>
      </c>
      <c r="E1" s="12" t="inlineStr">
        <is>
          <t>Expected Result</t>
        </is>
      </c>
      <c r="F1" s="12" t="inlineStr">
        <is>
          <t>Status</t>
        </is>
      </c>
      <c r="G1" s="12" t="inlineStr">
        <is>
          <t>Tested By</t>
        </is>
      </c>
      <c r="H1" s="12" t="inlineStr">
        <is>
          <t>Test Date</t>
        </is>
      </c>
      <c r="I1" s="12" t="inlineStr">
        <is>
          <t>Comments / Defect Ref</t>
        </is>
      </c>
    </row>
    <row r="2">
      <c r="A2" s="13" t="inlineStr">
        <is>
          <t>PC-ADM-01</t>
        </is>
      </c>
      <c r="B2" s="14" t="inlineStr">
        <is>
          <t>All Petty Cash</t>
        </is>
      </c>
      <c r="C2" s="14" t="inlineStr">
        <is>
          <t>Paged admin list</t>
        </is>
      </c>
      <c r="D2" s="14" t="inlineStr">
        <is>
          <t>1. Open All Petty Cash (admin)
2. Check pager '1-50 of N'
3. Search + filter by status</t>
        </is>
      </c>
      <c r="E2" s="14" t="inlineStr">
        <is>
          <t>All requests org-wide; server pagination, search and status filter work together</t>
        </is>
      </c>
      <c r="F2" s="15" t="inlineStr"/>
      <c r="G2" s="15" t="inlineStr"/>
      <c r="H2" s="15" t="inlineStr"/>
      <c r="I2" s="14" t="inlineStr"/>
    </row>
    <row r="3">
      <c r="A3" s="13" t="inlineStr">
        <is>
          <t>PC-ADM-02</t>
        </is>
      </c>
      <c r="B3" s="14" t="inlineStr">
        <is>
          <t>All Reimbursements</t>
        </is>
      </c>
      <c r="C3" s="14" t="inlineStr">
        <is>
          <t>Admin list</t>
        </is>
      </c>
      <c r="D3" s="14" t="inlineStr">
        <is>
          <t>1. Open All Reimbursements</t>
        </is>
      </c>
      <c r="E3" s="14" t="inlineStr">
        <is>
          <t>Org-wide list with status filters</t>
        </is>
      </c>
      <c r="F3" s="15" t="inlineStr"/>
      <c r="G3" s="15" t="inlineStr"/>
      <c r="H3" s="15" t="inlineStr"/>
      <c r="I3" s="14" t="inlineStr"/>
    </row>
    <row r="4">
      <c r="A4" s="13" t="inlineStr">
        <is>
          <t>PC-ADM-03</t>
        </is>
      </c>
      <c r="B4" s="14" t="inlineStr">
        <is>
          <t>All Clearings</t>
        </is>
      </c>
      <c r="C4" s="14" t="inlineStr">
        <is>
          <t>Admin list</t>
        </is>
      </c>
      <c r="D4" s="14" t="inlineStr">
        <is>
          <t>1. Open All Clearings</t>
        </is>
      </c>
      <c r="E4" s="14" t="inlineStr">
        <is>
          <t>Org-wide list; links open details</t>
        </is>
      </c>
      <c r="F4" s="15" t="inlineStr"/>
      <c r="G4" s="15" t="inlineStr"/>
      <c r="H4" s="15" t="inlineStr"/>
      <c r="I4" s="14" t="inlineStr"/>
    </row>
    <row r="5">
      <c r="A5" s="13" t="inlineStr">
        <is>
          <t>PC-ADM-04</t>
        </is>
      </c>
      <c r="B5" s="14" t="inlineStr">
        <is>
          <t>Disburse</t>
        </is>
      </c>
      <c r="C5" s="14" t="inlineStr">
        <is>
          <t>Mark approved float disbursed</t>
        </is>
      </c>
      <c r="D5" s="14" t="inlineStr">
        <is>
          <t>1. Open an APPROVED request
2. Disburse (date/reference)</t>
        </is>
      </c>
      <c r="E5" s="14" t="inlineStr">
        <is>
          <t>Status becomes DISBURSED; history updated; TEMPORARY floats start ageing</t>
        </is>
      </c>
      <c r="F5" s="15" t="inlineStr"/>
      <c r="G5" s="15" t="inlineStr"/>
      <c r="H5" s="15" t="inlineStr"/>
      <c r="I5" s="14" t="inlineStr"/>
    </row>
  </sheetData>
  <autoFilter ref="A1:I5"/>
  <conditionalFormatting sqref="F2:F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5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2" t="inlineStr">
        <is>
          <t>Test ID</t>
        </is>
      </c>
      <c r="B1" s="12" t="inlineStr">
        <is>
          <t>Function</t>
        </is>
      </c>
      <c r="C1" s="12" t="inlineStr">
        <is>
          <t>Test Scenario</t>
        </is>
      </c>
      <c r="D1" s="12" t="inlineStr">
        <is>
          <t>Steps</t>
        </is>
      </c>
      <c r="E1" s="12" t="inlineStr">
        <is>
          <t>Expected Result</t>
        </is>
      </c>
      <c r="F1" s="12" t="inlineStr">
        <is>
          <t>Status</t>
        </is>
      </c>
      <c r="G1" s="12" t="inlineStr">
        <is>
          <t>Tested By</t>
        </is>
      </c>
      <c r="H1" s="12" t="inlineStr">
        <is>
          <t>Test Date</t>
        </is>
      </c>
      <c r="I1" s="12" t="inlineStr">
        <is>
          <t>Comments / Defect Ref</t>
        </is>
      </c>
    </row>
    <row r="2">
      <c r="A2" s="13" t="inlineStr">
        <is>
          <t>PC-CFG-01</t>
        </is>
      </c>
      <c r="B2" s="14" t="inlineStr">
        <is>
          <t>GL codes</t>
        </is>
      </c>
      <c r="C2" s="14" t="inlineStr">
        <is>
          <t>Browse + search combinations</t>
        </is>
      </c>
      <c r="D2" s="14" t="inlineStr">
        <is>
          <t>1. Open GL Codes
2. Search a segment value</t>
        </is>
      </c>
      <c r="E2" s="14" t="inlineStr">
        <is>
          <t>9-segment combinations listed with full code string; search filters</t>
        </is>
      </c>
      <c r="F2" s="15" t="inlineStr"/>
      <c r="G2" s="15" t="inlineStr"/>
      <c r="H2" s="15" t="inlineStr"/>
      <c r="I2" s="14" t="inlineStr"/>
    </row>
    <row r="3">
      <c r="A3" s="13" t="inlineStr">
        <is>
          <t>PC-CFG-02</t>
        </is>
      </c>
      <c r="B3" s="14" t="inlineStr">
        <is>
          <t>Approval rules</t>
        </is>
      </c>
      <c r="C3" s="14" t="inlineStr">
        <is>
          <t>View/edit PC rules</t>
        </is>
      </c>
      <c r="D3" s="14" t="inlineStr">
        <is>
          <t>1. Open Approval Rules
2. Review steps/amount thresholds</t>
        </is>
      </c>
      <c r="E3" s="14" t="inlineStr">
        <is>
          <t>Rules display matches the configured approval template</t>
        </is>
      </c>
      <c r="F3" s="15" t="inlineStr"/>
      <c r="G3" s="15" t="inlineStr"/>
      <c r="H3" s="15" t="inlineStr"/>
      <c r="I3" s="14" t="inlineStr"/>
    </row>
    <row r="4">
      <c r="A4" s="13" t="inlineStr">
        <is>
          <t>PC-CFG-03</t>
        </is>
      </c>
      <c r="B4" s="14" t="inlineStr">
        <is>
          <t>Module settings</t>
        </is>
      </c>
      <c r="C4" s="14" t="inlineStr">
        <is>
          <t>PC settings incl. brand</t>
        </is>
      </c>
      <c r="D4" s="14" t="inlineStr">
        <is>
          <t>1. Open Module Settings
2. Edit a setting (e.g. THEME_BRAND_COLOR)
3. Hard-refresh</t>
        </is>
      </c>
      <c r="E4" s="14" t="inlineStr">
        <is>
          <t>Setting persists; brand color change reflects in PC only (restore afterwards)</t>
        </is>
      </c>
      <c r="F4" s="15" t="inlineStr"/>
      <c r="G4" s="15" t="inlineStr"/>
      <c r="H4" s="15" t="inlineStr"/>
      <c r="I4" s="14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2" t="inlineStr">
        <is>
          <t>Test ID</t>
        </is>
      </c>
      <c r="B1" s="12" t="inlineStr">
        <is>
          <t>Function</t>
        </is>
      </c>
      <c r="C1" s="12" t="inlineStr">
        <is>
          <t>Test Scenario</t>
        </is>
      </c>
      <c r="D1" s="12" t="inlineStr">
        <is>
          <t>Steps</t>
        </is>
      </c>
      <c r="E1" s="12" t="inlineStr">
        <is>
          <t>Expected Result</t>
        </is>
      </c>
      <c r="F1" s="12" t="inlineStr">
        <is>
          <t>Status</t>
        </is>
      </c>
      <c r="G1" s="12" t="inlineStr">
        <is>
          <t>Tested By</t>
        </is>
      </c>
      <c r="H1" s="12" t="inlineStr">
        <is>
          <t>Test Date</t>
        </is>
      </c>
      <c r="I1" s="12" t="inlineStr">
        <is>
          <t>Comments / Defect Ref</t>
        </is>
      </c>
    </row>
    <row r="2">
      <c r="A2" s="13" t="inlineStr">
        <is>
          <t>PC-SHL-01</t>
        </is>
      </c>
      <c r="B2" s="14" t="inlineStr">
        <is>
          <t>Switcher</t>
        </is>
      </c>
      <c r="C2" s="14" t="inlineStr">
        <is>
          <t>Back to Admin / other modules</t>
        </is>
      </c>
      <c r="D2" s="14" t="inlineStr">
        <is>
          <t>1. Use the top-bar module dropdown</t>
        </is>
      </c>
      <c r="E2" s="14" t="inlineStr">
        <is>
          <t>Other apps open without re-login</t>
        </is>
      </c>
      <c r="F2" s="15" t="inlineStr"/>
      <c r="G2" s="15" t="inlineStr"/>
      <c r="H2" s="15" t="inlineStr"/>
      <c r="I2" s="14" t="inlineStr"/>
    </row>
    <row r="3">
      <c r="A3" s="13" t="inlineStr">
        <is>
          <t>PC-SHL-02</t>
        </is>
      </c>
      <c r="B3" s="14" t="inlineStr">
        <is>
          <t>Arabic</t>
        </is>
      </c>
      <c r="C3" s="14" t="inlineStr">
        <is>
          <t>RTL pass</t>
        </is>
      </c>
      <c r="D3" s="14" t="inlineStr">
        <is>
          <t>1. Switch to AR
2. Walk My Petty Cash + Dashboard</t>
        </is>
      </c>
      <c r="E3" s="14" t="inlineStr">
        <is>
          <t>Shell + navigation in Arabic, layout mirrored, amounts keep Latin digits; lists still load</t>
        </is>
      </c>
      <c r="F3" s="15" t="inlineStr"/>
      <c r="G3" s="15" t="inlineStr"/>
      <c r="H3" s="15" t="inlineStr"/>
      <c r="I3" s="14" t="inlineStr"/>
    </row>
    <row r="4">
      <c r="A4" s="13" t="inlineStr">
        <is>
          <t>PC-SHL-03</t>
        </is>
      </c>
      <c r="B4" s="14" t="inlineStr">
        <is>
          <t>Notifications</t>
        </is>
      </c>
      <c r="C4" s="14" t="inlineStr">
        <is>
          <t>PC notifications</t>
        </is>
      </c>
      <c r="D4" s="14" t="inlineStr">
        <is>
          <t>1. Trigger an approval event
2. Check the bell</t>
        </is>
      </c>
      <c r="E4" s="14" t="inlineStr">
        <is>
          <t>Notification received and readable</t>
        </is>
      </c>
      <c r="F4" s="15" t="inlineStr"/>
      <c r="G4" s="15" t="inlineStr"/>
      <c r="H4" s="15" t="inlineStr"/>
      <c r="I4" s="14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2026-06-11T17:01:19Z</dcterms:created>
  <dcterms:modified xmlns:dcterms="http://purl.org/dc/terms/" xmlns:xsi="http://www.w3.org/2001/XMLSchema-instance" xsi:type="dcterms:W3CDTF">2026-06-11T17:01:19Z</dcterms:modified>
</cp:coreProperties>
</file>